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75" windowWidth="21075" windowHeight="8265"/>
  </bookViews>
  <sheets>
    <sheet name="Instructions" sheetId="1" r:id="rId1"/>
  </sheets>
  <definedNames>
    <definedName name="_xlnm._FilterDatabase" localSheetId="0" hidden="1">Instructions!$A$2:$K$699</definedName>
  </definedNames>
  <calcPr calcId="145621"/>
</workbook>
</file>

<file path=xl/calcChain.xml><?xml version="1.0" encoding="utf-8"?>
<calcChain xmlns="http://schemas.openxmlformats.org/spreadsheetml/2006/main">
  <c r="B474" i="1" l="1"/>
  <c r="B475" i="1" s="1"/>
  <c r="B476" i="1" s="1"/>
  <c r="B477" i="1" s="1"/>
  <c r="B463" i="1"/>
  <c r="C463" i="1" s="1"/>
  <c r="B457" i="1"/>
  <c r="B458" i="1" s="1"/>
  <c r="B446" i="1"/>
  <c r="D446" i="1" s="1"/>
  <c r="B508" i="1"/>
  <c r="B509" i="1" s="1"/>
  <c r="B510" i="1" s="1"/>
  <c r="B511" i="1" s="1"/>
  <c r="B497" i="1"/>
  <c r="D497" i="1" s="1"/>
  <c r="B491" i="1"/>
  <c r="D491" i="1" s="1"/>
  <c r="B480" i="1"/>
  <c r="B481" i="1" s="1"/>
  <c r="D481" i="1" s="1"/>
  <c r="D480" i="1"/>
  <c r="H508" i="1"/>
  <c r="I508" i="1" s="1"/>
  <c r="C508" i="1"/>
  <c r="I507" i="1"/>
  <c r="D507" i="1"/>
  <c r="C507" i="1"/>
  <c r="H497" i="1"/>
  <c r="H498" i="1" s="1"/>
  <c r="I496" i="1"/>
  <c r="D496" i="1"/>
  <c r="C496" i="1"/>
  <c r="H491" i="1"/>
  <c r="H492" i="1" s="1"/>
  <c r="I490" i="1"/>
  <c r="D490" i="1"/>
  <c r="C490" i="1"/>
  <c r="H481" i="1"/>
  <c r="H482" i="1" s="1"/>
  <c r="H480" i="1"/>
  <c r="I480" i="1" s="1"/>
  <c r="I479" i="1"/>
  <c r="D479" i="1"/>
  <c r="C479" i="1"/>
  <c r="H474" i="1"/>
  <c r="H475" i="1" s="1"/>
  <c r="C474" i="1"/>
  <c r="I473" i="1"/>
  <c r="D473" i="1"/>
  <c r="C473" i="1"/>
  <c r="H463" i="1"/>
  <c r="H464" i="1" s="1"/>
  <c r="D463" i="1"/>
  <c r="I462" i="1"/>
  <c r="D462" i="1"/>
  <c r="C462" i="1"/>
  <c r="C446" i="1"/>
  <c r="H457" i="1"/>
  <c r="H458" i="1" s="1"/>
  <c r="I456" i="1"/>
  <c r="D456" i="1"/>
  <c r="C456" i="1"/>
  <c r="H446" i="1"/>
  <c r="H447" i="1" s="1"/>
  <c r="I445" i="1"/>
  <c r="D445" i="1"/>
  <c r="C445" i="1"/>
  <c r="I497" i="1" l="1"/>
  <c r="D475" i="1"/>
  <c r="B464" i="1"/>
  <c r="B459" i="1"/>
  <c r="C458" i="1"/>
  <c r="D458" i="1"/>
  <c r="B447" i="1"/>
  <c r="B498" i="1"/>
  <c r="C497" i="1"/>
  <c r="C491" i="1"/>
  <c r="B492" i="1"/>
  <c r="B493" i="1" s="1"/>
  <c r="B494" i="1" s="1"/>
  <c r="B482" i="1"/>
  <c r="C481" i="1"/>
  <c r="C480" i="1"/>
  <c r="H499" i="1"/>
  <c r="I498" i="1"/>
  <c r="I492" i="1"/>
  <c r="H493" i="1"/>
  <c r="I482" i="1"/>
  <c r="H483" i="1"/>
  <c r="D509" i="1"/>
  <c r="C509" i="1"/>
  <c r="H509" i="1"/>
  <c r="I481" i="1"/>
  <c r="I491" i="1"/>
  <c r="D508" i="1"/>
  <c r="C475" i="1"/>
  <c r="H476" i="1"/>
  <c r="I475" i="1"/>
  <c r="D474" i="1"/>
  <c r="I474" i="1"/>
  <c r="I458" i="1"/>
  <c r="H459" i="1"/>
  <c r="D457" i="1"/>
  <c r="I446" i="1"/>
  <c r="I463" i="1"/>
  <c r="H465" i="1"/>
  <c r="I464" i="1"/>
  <c r="C457" i="1"/>
  <c r="I457" i="1"/>
  <c r="H448" i="1"/>
  <c r="I447" i="1"/>
  <c r="H415" i="1"/>
  <c r="B415" i="1"/>
  <c r="I414" i="1"/>
  <c r="D414" i="1"/>
  <c r="C414" i="1"/>
  <c r="H435" i="1"/>
  <c r="H436" i="1" s="1"/>
  <c r="H437" i="1" s="1"/>
  <c r="B435" i="1"/>
  <c r="C435" i="1" s="1"/>
  <c r="I434" i="1"/>
  <c r="D434" i="1"/>
  <c r="C434" i="1"/>
  <c r="H400" i="1"/>
  <c r="H401" i="1" s="1"/>
  <c r="H402" i="1" s="1"/>
  <c r="B400" i="1"/>
  <c r="C400" i="1" s="1"/>
  <c r="I399" i="1"/>
  <c r="D399" i="1"/>
  <c r="C399" i="1"/>
  <c r="H384" i="1"/>
  <c r="H385" i="1" s="1"/>
  <c r="B384" i="1"/>
  <c r="B385" i="1" s="1"/>
  <c r="I383" i="1"/>
  <c r="D383" i="1"/>
  <c r="C383" i="1"/>
  <c r="H373" i="1"/>
  <c r="H374" i="1" s="1"/>
  <c r="I372" i="1"/>
  <c r="B373" i="1"/>
  <c r="D373" i="1" s="1"/>
  <c r="D372" i="1"/>
  <c r="C372" i="1"/>
  <c r="B465" i="1" l="1"/>
  <c r="D464" i="1"/>
  <c r="C464" i="1"/>
  <c r="B460" i="1"/>
  <c r="C459" i="1"/>
  <c r="D459" i="1"/>
  <c r="D447" i="1"/>
  <c r="C447" i="1"/>
  <c r="B448" i="1"/>
  <c r="C492" i="1"/>
  <c r="D492" i="1"/>
  <c r="C498" i="1"/>
  <c r="B499" i="1"/>
  <c r="D498" i="1"/>
  <c r="D482" i="1"/>
  <c r="C482" i="1"/>
  <c r="B483" i="1"/>
  <c r="D510" i="1"/>
  <c r="C510" i="1"/>
  <c r="I483" i="1"/>
  <c r="H484" i="1"/>
  <c r="H494" i="1"/>
  <c r="I494" i="1" s="1"/>
  <c r="I493" i="1"/>
  <c r="H500" i="1"/>
  <c r="I499" i="1"/>
  <c r="D493" i="1"/>
  <c r="C493" i="1"/>
  <c r="I509" i="1"/>
  <c r="H510" i="1"/>
  <c r="D476" i="1"/>
  <c r="C476" i="1"/>
  <c r="H477" i="1"/>
  <c r="I477" i="1" s="1"/>
  <c r="I476" i="1"/>
  <c r="H460" i="1"/>
  <c r="I460" i="1" s="1"/>
  <c r="I459" i="1"/>
  <c r="I465" i="1"/>
  <c r="H466" i="1"/>
  <c r="I448" i="1"/>
  <c r="H449" i="1"/>
  <c r="D435" i="1"/>
  <c r="I435" i="1"/>
  <c r="I436" i="1"/>
  <c r="B416" i="1"/>
  <c r="C416" i="1" s="1"/>
  <c r="H416" i="1"/>
  <c r="C415" i="1"/>
  <c r="D415" i="1"/>
  <c r="I415" i="1"/>
  <c r="H438" i="1"/>
  <c r="I437" i="1"/>
  <c r="B436" i="1"/>
  <c r="B437" i="1" s="1"/>
  <c r="D437" i="1" s="1"/>
  <c r="B401" i="1"/>
  <c r="B402" i="1" s="1"/>
  <c r="C402" i="1" s="1"/>
  <c r="H403" i="1"/>
  <c r="I402" i="1"/>
  <c r="I401" i="1"/>
  <c r="D401" i="1"/>
  <c r="I400" i="1"/>
  <c r="D400" i="1"/>
  <c r="B386" i="1"/>
  <c r="D385" i="1"/>
  <c r="C385" i="1"/>
  <c r="H386" i="1"/>
  <c r="I385" i="1"/>
  <c r="C384" i="1"/>
  <c r="D384" i="1"/>
  <c r="I384" i="1"/>
  <c r="I374" i="1"/>
  <c r="H375" i="1"/>
  <c r="I373" i="1"/>
  <c r="C373" i="1"/>
  <c r="B374" i="1"/>
  <c r="B320" i="1"/>
  <c r="D320" i="1" s="1"/>
  <c r="H320" i="1"/>
  <c r="H321" i="1" s="1"/>
  <c r="B321" i="1" l="1"/>
  <c r="D321" i="1" s="1"/>
  <c r="B466" i="1"/>
  <c r="C465" i="1"/>
  <c r="D465" i="1"/>
  <c r="D460" i="1"/>
  <c r="C460" i="1"/>
  <c r="B449" i="1"/>
  <c r="D448" i="1"/>
  <c r="C448" i="1"/>
  <c r="C499" i="1"/>
  <c r="B500" i="1"/>
  <c r="D499" i="1"/>
  <c r="B484" i="1"/>
  <c r="D483" i="1"/>
  <c r="C483" i="1"/>
  <c r="D494" i="1"/>
  <c r="C494" i="1"/>
  <c r="H501" i="1"/>
  <c r="I500" i="1"/>
  <c r="H485" i="1"/>
  <c r="I484" i="1"/>
  <c r="H511" i="1"/>
  <c r="I511" i="1" s="1"/>
  <c r="I510" i="1"/>
  <c r="D511" i="1"/>
  <c r="C511" i="1"/>
  <c r="D477" i="1"/>
  <c r="C477" i="1"/>
  <c r="C401" i="1"/>
  <c r="B438" i="1"/>
  <c r="D438" i="1" s="1"/>
  <c r="D402" i="1"/>
  <c r="C320" i="1"/>
  <c r="H467" i="1"/>
  <c r="I466" i="1"/>
  <c r="H450" i="1"/>
  <c r="I449" i="1"/>
  <c r="B403" i="1"/>
  <c r="D403" i="1" s="1"/>
  <c r="D436" i="1"/>
  <c r="C436" i="1"/>
  <c r="H417" i="1"/>
  <c r="I416" i="1"/>
  <c r="C437" i="1"/>
  <c r="D416" i="1"/>
  <c r="B417" i="1"/>
  <c r="H439" i="1"/>
  <c r="I438" i="1"/>
  <c r="I403" i="1"/>
  <c r="H404" i="1"/>
  <c r="I386" i="1"/>
  <c r="H387" i="1"/>
  <c r="B387" i="1"/>
  <c r="D386" i="1"/>
  <c r="C386" i="1"/>
  <c r="I320" i="1"/>
  <c r="H376" i="1"/>
  <c r="I375" i="1"/>
  <c r="C374" i="1"/>
  <c r="D374" i="1"/>
  <c r="B375" i="1"/>
  <c r="H322" i="1"/>
  <c r="I322" i="1" s="1"/>
  <c r="I321" i="1"/>
  <c r="B322" i="1"/>
  <c r="C322" i="1" s="1"/>
  <c r="C321" i="1"/>
  <c r="H367" i="1"/>
  <c r="B367" i="1"/>
  <c r="I366" i="1"/>
  <c r="D366" i="1"/>
  <c r="C366" i="1"/>
  <c r="H361" i="1"/>
  <c r="B361" i="1"/>
  <c r="I360" i="1"/>
  <c r="D360" i="1"/>
  <c r="C360" i="1"/>
  <c r="H355" i="1"/>
  <c r="B355" i="1"/>
  <c r="I354" i="1"/>
  <c r="D354" i="1"/>
  <c r="C354" i="1"/>
  <c r="H349" i="1"/>
  <c r="B349" i="1"/>
  <c r="I348" i="1"/>
  <c r="D348" i="1"/>
  <c r="C348" i="1"/>
  <c r="H343" i="1"/>
  <c r="B343" i="1"/>
  <c r="I342" i="1"/>
  <c r="D342" i="1"/>
  <c r="C342" i="1"/>
  <c r="B467" i="1" l="1"/>
  <c r="C466" i="1"/>
  <c r="D466" i="1"/>
  <c r="D449" i="1"/>
  <c r="C449" i="1"/>
  <c r="B450" i="1"/>
  <c r="B501" i="1"/>
  <c r="C500" i="1"/>
  <c r="D500" i="1"/>
  <c r="B485" i="1"/>
  <c r="D484" i="1"/>
  <c r="C484" i="1"/>
  <c r="I485" i="1"/>
  <c r="H486" i="1"/>
  <c r="H502" i="1"/>
  <c r="I501" i="1"/>
  <c r="C403" i="1"/>
  <c r="C438" i="1"/>
  <c r="B439" i="1"/>
  <c r="B440" i="1" s="1"/>
  <c r="B404" i="1"/>
  <c r="B405" i="1" s="1"/>
  <c r="H468" i="1"/>
  <c r="I467" i="1"/>
  <c r="H451" i="1"/>
  <c r="I450" i="1"/>
  <c r="B418" i="1"/>
  <c r="B419" i="1" s="1"/>
  <c r="B420" i="1" s="1"/>
  <c r="C417" i="1"/>
  <c r="D417" i="1"/>
  <c r="H418" i="1"/>
  <c r="I417" i="1"/>
  <c r="H440" i="1"/>
  <c r="I439" i="1"/>
  <c r="I404" i="1"/>
  <c r="H405" i="1"/>
  <c r="B323" i="1"/>
  <c r="B324" i="1" s="1"/>
  <c r="D322" i="1"/>
  <c r="B388" i="1"/>
  <c r="C387" i="1"/>
  <c r="D387" i="1"/>
  <c r="I387" i="1"/>
  <c r="H388" i="1"/>
  <c r="H323" i="1"/>
  <c r="H324" i="1" s="1"/>
  <c r="H377" i="1"/>
  <c r="I376" i="1"/>
  <c r="B376" i="1"/>
  <c r="B377" i="1" s="1"/>
  <c r="D375" i="1"/>
  <c r="C375" i="1"/>
  <c r="C367" i="1"/>
  <c r="B368" i="1"/>
  <c r="H368" i="1"/>
  <c r="H362" i="1"/>
  <c r="B364" i="1"/>
  <c r="D364" i="1" s="1"/>
  <c r="B362" i="1"/>
  <c r="B358" i="1"/>
  <c r="C358" i="1" s="1"/>
  <c r="B356" i="1"/>
  <c r="I355" i="1"/>
  <c r="H356" i="1"/>
  <c r="B352" i="1"/>
  <c r="D352" i="1" s="1"/>
  <c r="B350" i="1"/>
  <c r="I349" i="1"/>
  <c r="H350" i="1"/>
  <c r="H344" i="1"/>
  <c r="B346" i="1"/>
  <c r="C346" i="1" s="1"/>
  <c r="B344" i="1"/>
  <c r="B370" i="1"/>
  <c r="D370" i="1" s="1"/>
  <c r="D343" i="1"/>
  <c r="C343" i="1"/>
  <c r="C349" i="1"/>
  <c r="D349" i="1"/>
  <c r="D367" i="1"/>
  <c r="C355" i="1"/>
  <c r="I343" i="1"/>
  <c r="D355" i="1"/>
  <c r="D361" i="1"/>
  <c r="I361" i="1"/>
  <c r="C361" i="1"/>
  <c r="I367" i="1"/>
  <c r="C319" i="1"/>
  <c r="D319" i="1"/>
  <c r="I319" i="1"/>
  <c r="C158" i="1"/>
  <c r="D158" i="1"/>
  <c r="I158" i="1"/>
  <c r="C312" i="1"/>
  <c r="D312" i="1"/>
  <c r="I312" i="1"/>
  <c r="B307" i="1"/>
  <c r="C154" i="1"/>
  <c r="D154" i="1"/>
  <c r="I154" i="1"/>
  <c r="B301" i="1"/>
  <c r="B295" i="1"/>
  <c r="B289" i="1"/>
  <c r="B283" i="1"/>
  <c r="B247" i="1"/>
  <c r="B241" i="1"/>
  <c r="B235" i="1"/>
  <c r="B229" i="1"/>
  <c r="B223" i="1"/>
  <c r="B187" i="1"/>
  <c r="B181" i="1"/>
  <c r="B175" i="1"/>
  <c r="B169" i="1"/>
  <c r="B163" i="1"/>
  <c r="B142" i="1"/>
  <c r="B136" i="1"/>
  <c r="B130" i="1"/>
  <c r="B124" i="1"/>
  <c r="B118" i="1"/>
  <c r="B82" i="1"/>
  <c r="B76" i="1"/>
  <c r="B70" i="1"/>
  <c r="B64" i="1"/>
  <c r="B58" i="1"/>
  <c r="B332" i="1"/>
  <c r="B313" i="1"/>
  <c r="D313" i="1" s="1"/>
  <c r="B159" i="1"/>
  <c r="D159" i="1" s="1"/>
  <c r="B155" i="1"/>
  <c r="D155" i="1" s="1"/>
  <c r="B148" i="1"/>
  <c r="C148" i="1" s="1"/>
  <c r="H307" i="1"/>
  <c r="I306" i="1"/>
  <c r="H301" i="1"/>
  <c r="I300" i="1"/>
  <c r="H295" i="1"/>
  <c r="I294" i="1"/>
  <c r="H289" i="1"/>
  <c r="I288" i="1"/>
  <c r="H283" i="1"/>
  <c r="I282" i="1"/>
  <c r="H247" i="1"/>
  <c r="I246" i="1"/>
  <c r="H241" i="1"/>
  <c r="I240" i="1"/>
  <c r="H235" i="1"/>
  <c r="I234" i="1"/>
  <c r="H229" i="1"/>
  <c r="I228" i="1"/>
  <c r="H223" i="1"/>
  <c r="I222" i="1"/>
  <c r="H187" i="1"/>
  <c r="I186" i="1"/>
  <c r="H181" i="1"/>
  <c r="I180" i="1"/>
  <c r="H175" i="1"/>
  <c r="I174" i="1"/>
  <c r="H169" i="1"/>
  <c r="I168" i="1"/>
  <c r="H163" i="1"/>
  <c r="I162" i="1"/>
  <c r="H142" i="1"/>
  <c r="I141" i="1"/>
  <c r="H136" i="1"/>
  <c r="I135" i="1"/>
  <c r="H130" i="1"/>
  <c r="I129" i="1"/>
  <c r="H124" i="1"/>
  <c r="I123" i="1"/>
  <c r="H118" i="1"/>
  <c r="I117" i="1"/>
  <c r="H82" i="1"/>
  <c r="I81" i="1"/>
  <c r="H76" i="1"/>
  <c r="I75" i="1"/>
  <c r="H70" i="1"/>
  <c r="I69" i="1"/>
  <c r="H64" i="1"/>
  <c r="I63" i="1"/>
  <c r="H58" i="1"/>
  <c r="I57" i="1"/>
  <c r="H332" i="1"/>
  <c r="I331" i="1"/>
  <c r="H313" i="1"/>
  <c r="I313" i="1" s="1"/>
  <c r="H159" i="1"/>
  <c r="I159" i="1" s="1"/>
  <c r="H155" i="1"/>
  <c r="I155" i="1" s="1"/>
  <c r="H148" i="1"/>
  <c r="I148" i="1" s="1"/>
  <c r="I147" i="1"/>
  <c r="D306" i="1"/>
  <c r="C306" i="1"/>
  <c r="D300" i="1"/>
  <c r="C300" i="1"/>
  <c r="D294" i="1"/>
  <c r="C294" i="1"/>
  <c r="D288" i="1"/>
  <c r="C288" i="1"/>
  <c r="D282" i="1"/>
  <c r="C282" i="1"/>
  <c r="D246" i="1"/>
  <c r="C246" i="1"/>
  <c r="D240" i="1"/>
  <c r="C240" i="1"/>
  <c r="D234" i="1"/>
  <c r="C234" i="1"/>
  <c r="D228" i="1"/>
  <c r="C228" i="1"/>
  <c r="D222" i="1"/>
  <c r="C222" i="1"/>
  <c r="D186" i="1"/>
  <c r="C186" i="1"/>
  <c r="D180" i="1"/>
  <c r="C180" i="1"/>
  <c r="D174" i="1"/>
  <c r="C174" i="1"/>
  <c r="D168" i="1"/>
  <c r="C168" i="1"/>
  <c r="D162" i="1"/>
  <c r="C162" i="1"/>
  <c r="D141" i="1"/>
  <c r="C141" i="1"/>
  <c r="D135" i="1"/>
  <c r="C135" i="1"/>
  <c r="D129" i="1"/>
  <c r="C129" i="1"/>
  <c r="D123" i="1"/>
  <c r="C123" i="1"/>
  <c r="D117" i="1"/>
  <c r="C117" i="1"/>
  <c r="D81" i="1"/>
  <c r="C81" i="1"/>
  <c r="D75" i="1"/>
  <c r="C75" i="1"/>
  <c r="D69" i="1"/>
  <c r="C69" i="1"/>
  <c r="D63" i="1"/>
  <c r="C63" i="1"/>
  <c r="D57" i="1"/>
  <c r="C57" i="1"/>
  <c r="D331" i="1"/>
  <c r="C331" i="1"/>
  <c r="D147" i="1"/>
  <c r="C147" i="1"/>
  <c r="B22" i="1"/>
  <c r="B23" i="1" s="1"/>
  <c r="C23" i="1" s="1"/>
  <c r="I21" i="1"/>
  <c r="H22" i="1"/>
  <c r="H23" i="1" s="1"/>
  <c r="I23" i="1" s="1"/>
  <c r="D21" i="1"/>
  <c r="C21" i="1"/>
  <c r="D404" i="1" l="1"/>
  <c r="C404" i="1"/>
  <c r="B468" i="1"/>
  <c r="D467" i="1"/>
  <c r="C467" i="1"/>
  <c r="B451" i="1"/>
  <c r="D450" i="1"/>
  <c r="C450" i="1"/>
  <c r="B502" i="1"/>
  <c r="D501" i="1"/>
  <c r="C501" i="1"/>
  <c r="B486" i="1"/>
  <c r="D485" i="1"/>
  <c r="C485" i="1"/>
  <c r="H503" i="1"/>
  <c r="I502" i="1"/>
  <c r="H487" i="1"/>
  <c r="I486" i="1"/>
  <c r="C439" i="1"/>
  <c r="D439" i="1"/>
  <c r="B421" i="1"/>
  <c r="C420" i="1"/>
  <c r="D420" i="1"/>
  <c r="I468" i="1"/>
  <c r="H469" i="1"/>
  <c r="H452" i="1"/>
  <c r="I451" i="1"/>
  <c r="I418" i="1"/>
  <c r="H419" i="1"/>
  <c r="C418" i="1"/>
  <c r="D418" i="1"/>
  <c r="C323" i="1"/>
  <c r="D323" i="1"/>
  <c r="H441" i="1"/>
  <c r="I440" i="1"/>
  <c r="D440" i="1"/>
  <c r="C440" i="1"/>
  <c r="B441" i="1"/>
  <c r="H406" i="1"/>
  <c r="I405" i="1"/>
  <c r="B406" i="1"/>
  <c r="D405" i="1"/>
  <c r="C405" i="1"/>
  <c r="I323" i="1"/>
  <c r="H389" i="1"/>
  <c r="I388" i="1"/>
  <c r="B389" i="1"/>
  <c r="D388" i="1"/>
  <c r="C388" i="1"/>
  <c r="D377" i="1"/>
  <c r="C377" i="1"/>
  <c r="B378" i="1"/>
  <c r="C352" i="1"/>
  <c r="H378" i="1"/>
  <c r="I377" i="1"/>
  <c r="C376" i="1"/>
  <c r="D376" i="1"/>
  <c r="I332" i="1"/>
  <c r="H333" i="1"/>
  <c r="C332" i="1"/>
  <c r="B333" i="1"/>
  <c r="C364" i="1"/>
  <c r="D324" i="1"/>
  <c r="C324" i="1"/>
  <c r="B325" i="1"/>
  <c r="H325" i="1"/>
  <c r="I324" i="1"/>
  <c r="H182" i="1"/>
  <c r="B184" i="1"/>
  <c r="C184" i="1" s="1"/>
  <c r="B182" i="1"/>
  <c r="D346" i="1"/>
  <c r="D358" i="1"/>
  <c r="H369" i="1"/>
  <c r="I368" i="1"/>
  <c r="D368" i="1"/>
  <c r="B369" i="1"/>
  <c r="C368" i="1"/>
  <c r="C362" i="1"/>
  <c r="D362" i="1"/>
  <c r="B363" i="1"/>
  <c r="H363" i="1"/>
  <c r="I362" i="1"/>
  <c r="H357" i="1"/>
  <c r="I356" i="1"/>
  <c r="B357" i="1"/>
  <c r="D356" i="1"/>
  <c r="C356" i="1"/>
  <c r="H351" i="1"/>
  <c r="I350" i="1"/>
  <c r="B351" i="1"/>
  <c r="D350" i="1"/>
  <c r="C350" i="1"/>
  <c r="B345" i="1"/>
  <c r="C344" i="1"/>
  <c r="D344" i="1"/>
  <c r="H345" i="1"/>
  <c r="I344" i="1"/>
  <c r="D307" i="1"/>
  <c r="B308" i="1"/>
  <c r="I307" i="1"/>
  <c r="H308" i="1"/>
  <c r="I301" i="1"/>
  <c r="H302" i="1"/>
  <c r="D301" i="1"/>
  <c r="B302" i="1"/>
  <c r="C295" i="1"/>
  <c r="B296" i="1"/>
  <c r="H296" i="1"/>
  <c r="B292" i="1"/>
  <c r="D292" i="1" s="1"/>
  <c r="B290" i="1"/>
  <c r="I289" i="1"/>
  <c r="H290" i="1"/>
  <c r="I247" i="1"/>
  <c r="H248" i="1"/>
  <c r="D247" i="1"/>
  <c r="B248" i="1"/>
  <c r="D283" i="1"/>
  <c r="B284" i="1"/>
  <c r="I283" i="1"/>
  <c r="H284" i="1"/>
  <c r="I187" i="1"/>
  <c r="H188" i="1"/>
  <c r="D187" i="1"/>
  <c r="B188" i="1"/>
  <c r="I175" i="1"/>
  <c r="H176" i="1"/>
  <c r="D175" i="1"/>
  <c r="B176" i="1"/>
  <c r="I169" i="1"/>
  <c r="H170" i="1"/>
  <c r="C169" i="1"/>
  <c r="B170" i="1"/>
  <c r="D163" i="1"/>
  <c r="B164" i="1"/>
  <c r="I163" i="1"/>
  <c r="H164" i="1"/>
  <c r="D142" i="1"/>
  <c r="B143" i="1"/>
  <c r="I142" i="1"/>
  <c r="H143" i="1"/>
  <c r="I136" i="1"/>
  <c r="H137" i="1"/>
  <c r="D136" i="1"/>
  <c r="B137" i="1"/>
  <c r="I130" i="1"/>
  <c r="H131" i="1"/>
  <c r="C130" i="1"/>
  <c r="B131" i="1"/>
  <c r="C124" i="1"/>
  <c r="B125" i="1"/>
  <c r="I124" i="1"/>
  <c r="H125" i="1"/>
  <c r="C118" i="1"/>
  <c r="B119" i="1"/>
  <c r="B121" i="1"/>
  <c r="I118" i="1"/>
  <c r="H119" i="1"/>
  <c r="C82" i="1"/>
  <c r="B83" i="1"/>
  <c r="H83" i="1"/>
  <c r="C76" i="1"/>
  <c r="B77" i="1"/>
  <c r="I76" i="1"/>
  <c r="H77" i="1"/>
  <c r="C70" i="1"/>
  <c r="B71" i="1"/>
  <c r="I70" i="1"/>
  <c r="H71" i="1"/>
  <c r="H65" i="1"/>
  <c r="C64" i="1"/>
  <c r="B65" i="1"/>
  <c r="I58" i="1"/>
  <c r="H59" i="1"/>
  <c r="C58" i="1"/>
  <c r="B59" i="1"/>
  <c r="C370" i="1"/>
  <c r="I241" i="1"/>
  <c r="H242" i="1"/>
  <c r="D241" i="1"/>
  <c r="B242" i="1"/>
  <c r="H236" i="1"/>
  <c r="C235" i="1"/>
  <c r="B236" i="1"/>
  <c r="D229" i="1"/>
  <c r="B232" i="1"/>
  <c r="B230" i="1"/>
  <c r="I229" i="1"/>
  <c r="H230" i="1"/>
  <c r="C223" i="1"/>
  <c r="B224" i="1"/>
  <c r="B225" i="1" s="1"/>
  <c r="H224" i="1"/>
  <c r="H225" i="1" s="1"/>
  <c r="I235" i="1"/>
  <c r="C163" i="1"/>
  <c r="C187" i="1"/>
  <c r="I295" i="1"/>
  <c r="D82" i="1"/>
  <c r="D64" i="1"/>
  <c r="I181" i="1"/>
  <c r="I82" i="1"/>
  <c r="I223" i="1"/>
  <c r="B298" i="1"/>
  <c r="D289" i="1"/>
  <c r="B304" i="1"/>
  <c r="D304" i="1" s="1"/>
  <c r="C181" i="1"/>
  <c r="B79" i="1"/>
  <c r="D181" i="1"/>
  <c r="B139" i="1"/>
  <c r="B310" i="1"/>
  <c r="D310" i="1" s="1"/>
  <c r="H314" i="1"/>
  <c r="B149" i="1"/>
  <c r="D149" i="1" s="1"/>
  <c r="H149" i="1"/>
  <c r="B314" i="1"/>
  <c r="D184" i="1"/>
  <c r="H156" i="1"/>
  <c r="I156" i="1" s="1"/>
  <c r="B73" i="1"/>
  <c r="B250" i="1"/>
  <c r="B160" i="1"/>
  <c r="B178" i="1"/>
  <c r="C178" i="1" s="1"/>
  <c r="D118" i="1"/>
  <c r="D169" i="1"/>
  <c r="C241" i="1"/>
  <c r="B61" i="1"/>
  <c r="I64" i="1"/>
  <c r="D332" i="1"/>
  <c r="D124" i="1"/>
  <c r="C247" i="1"/>
  <c r="H160" i="1"/>
  <c r="I160" i="1" s="1"/>
  <c r="B127" i="1"/>
  <c r="B145" i="1"/>
  <c r="B286" i="1"/>
  <c r="B238" i="1"/>
  <c r="D58" i="1"/>
  <c r="D130" i="1"/>
  <c r="B67" i="1"/>
  <c r="C289" i="1"/>
  <c r="B166" i="1"/>
  <c r="D166" i="1" s="1"/>
  <c r="H317" i="1"/>
  <c r="I317" i="1" s="1"/>
  <c r="B85" i="1"/>
  <c r="B133" i="1"/>
  <c r="B190" i="1"/>
  <c r="B244" i="1"/>
  <c r="C142" i="1"/>
  <c r="B156" i="1"/>
  <c r="B340" i="1"/>
  <c r="D223" i="1"/>
  <c r="B172" i="1"/>
  <c r="C172" i="1" s="1"/>
  <c r="B317" i="1"/>
  <c r="B152" i="1"/>
  <c r="H152" i="1"/>
  <c r="I152" i="1" s="1"/>
  <c r="D76" i="1"/>
  <c r="D235" i="1"/>
  <c r="D295" i="1"/>
  <c r="D70" i="1"/>
  <c r="C136" i="1"/>
  <c r="C175" i="1"/>
  <c r="C307" i="1"/>
  <c r="C155" i="1"/>
  <c r="C301" i="1"/>
  <c r="C283" i="1"/>
  <c r="C229" i="1"/>
  <c r="C313" i="1"/>
  <c r="C159" i="1"/>
  <c r="D148" i="1"/>
  <c r="B24" i="1"/>
  <c r="B25" i="1" s="1"/>
  <c r="D25" i="1" s="1"/>
  <c r="H24" i="1"/>
  <c r="H25" i="1" s="1"/>
  <c r="I25" i="1" s="1"/>
  <c r="I22" i="1"/>
  <c r="D22" i="1"/>
  <c r="C22" i="1"/>
  <c r="D23" i="1"/>
  <c r="H272" i="1"/>
  <c r="H273" i="1" s="1"/>
  <c r="B272" i="1"/>
  <c r="C272" i="1" s="1"/>
  <c r="I271" i="1"/>
  <c r="D271" i="1"/>
  <c r="C271" i="1"/>
  <c r="H212" i="1"/>
  <c r="H213" i="1" s="1"/>
  <c r="B212" i="1"/>
  <c r="D212" i="1" s="1"/>
  <c r="I211" i="1"/>
  <c r="D211" i="1"/>
  <c r="C211" i="1"/>
  <c r="C106" i="1"/>
  <c r="D106" i="1"/>
  <c r="I106" i="1"/>
  <c r="B107" i="1"/>
  <c r="C107" i="1" s="1"/>
  <c r="H107" i="1"/>
  <c r="I107" i="1" s="1"/>
  <c r="H260" i="1"/>
  <c r="I260" i="1" s="1"/>
  <c r="B260" i="1"/>
  <c r="B261" i="1" s="1"/>
  <c r="I259" i="1"/>
  <c r="D259" i="1"/>
  <c r="C259" i="1"/>
  <c r="H253" i="1"/>
  <c r="I253" i="1" s="1"/>
  <c r="B253" i="1"/>
  <c r="D253" i="1" s="1"/>
  <c r="I252" i="1"/>
  <c r="D252" i="1"/>
  <c r="C252" i="1"/>
  <c r="D468" i="1" l="1"/>
  <c r="B469" i="1"/>
  <c r="C468" i="1"/>
  <c r="B452" i="1"/>
  <c r="C451" i="1"/>
  <c r="D451" i="1"/>
  <c r="D502" i="1"/>
  <c r="B503" i="1"/>
  <c r="C502" i="1"/>
  <c r="B487" i="1"/>
  <c r="D486" i="1"/>
  <c r="C486" i="1"/>
  <c r="H488" i="1"/>
  <c r="I488" i="1" s="1"/>
  <c r="I487" i="1"/>
  <c r="H504" i="1"/>
  <c r="I503" i="1"/>
  <c r="H470" i="1"/>
  <c r="I419" i="1"/>
  <c r="H420" i="1"/>
  <c r="B422" i="1"/>
  <c r="D421" i="1"/>
  <c r="C421" i="1"/>
  <c r="I469" i="1"/>
  <c r="I452" i="1"/>
  <c r="H453" i="1"/>
  <c r="C419" i="1"/>
  <c r="D419" i="1"/>
  <c r="H442" i="1"/>
  <c r="I441" i="1"/>
  <c r="B442" i="1"/>
  <c r="D441" i="1"/>
  <c r="C441" i="1"/>
  <c r="H407" i="1"/>
  <c r="I406" i="1"/>
  <c r="B407" i="1"/>
  <c r="D406" i="1"/>
  <c r="C406" i="1"/>
  <c r="C292" i="1"/>
  <c r="D389" i="1"/>
  <c r="B390" i="1"/>
  <c r="B391" i="1" s="1"/>
  <c r="C389" i="1"/>
  <c r="I389" i="1"/>
  <c r="H390" i="1"/>
  <c r="H391" i="1" s="1"/>
  <c r="C378" i="1"/>
  <c r="B379" i="1"/>
  <c r="D378" i="1"/>
  <c r="H379" i="1"/>
  <c r="H380" i="1" s="1"/>
  <c r="H381" i="1" s="1"/>
  <c r="I381" i="1" s="1"/>
  <c r="I378" i="1"/>
  <c r="B334" i="1"/>
  <c r="C333" i="1"/>
  <c r="D333" i="1"/>
  <c r="H334" i="1"/>
  <c r="I333" i="1"/>
  <c r="H326" i="1"/>
  <c r="I325" i="1"/>
  <c r="D325" i="1"/>
  <c r="B326" i="1"/>
  <c r="C325" i="1"/>
  <c r="I351" i="1"/>
  <c r="H352" i="1"/>
  <c r="I352" i="1" s="1"/>
  <c r="I369" i="1"/>
  <c r="H370" i="1"/>
  <c r="I370" i="1" s="1"/>
  <c r="I345" i="1"/>
  <c r="H346" i="1"/>
  <c r="I346" i="1" s="1"/>
  <c r="I357" i="1"/>
  <c r="H358" i="1"/>
  <c r="I358" i="1" s="1"/>
  <c r="D182" i="1"/>
  <c r="B183" i="1"/>
  <c r="C182" i="1"/>
  <c r="I363" i="1"/>
  <c r="H364" i="1"/>
  <c r="I364" i="1" s="1"/>
  <c r="H183" i="1"/>
  <c r="I182" i="1"/>
  <c r="D369" i="1"/>
  <c r="C369" i="1"/>
  <c r="D363" i="1"/>
  <c r="C363" i="1"/>
  <c r="D357" i="1"/>
  <c r="C357" i="1"/>
  <c r="D351" i="1"/>
  <c r="C351" i="1"/>
  <c r="D345" i="1"/>
  <c r="C345" i="1"/>
  <c r="I308" i="1"/>
  <c r="H309" i="1"/>
  <c r="C308" i="1"/>
  <c r="B309" i="1"/>
  <c r="D308" i="1"/>
  <c r="C302" i="1"/>
  <c r="B303" i="1"/>
  <c r="D302" i="1"/>
  <c r="H303" i="1"/>
  <c r="I302" i="1"/>
  <c r="H297" i="1"/>
  <c r="I296" i="1"/>
  <c r="C296" i="1"/>
  <c r="D296" i="1"/>
  <c r="B297" i="1"/>
  <c r="H291" i="1"/>
  <c r="I290" i="1"/>
  <c r="C290" i="1"/>
  <c r="B291" i="1"/>
  <c r="D290" i="1"/>
  <c r="H285" i="1"/>
  <c r="I284" i="1"/>
  <c r="B285" i="1"/>
  <c r="D284" i="1"/>
  <c r="C284" i="1"/>
  <c r="D248" i="1"/>
  <c r="C248" i="1"/>
  <c r="B249" i="1"/>
  <c r="H249" i="1"/>
  <c r="I248" i="1"/>
  <c r="B189" i="1"/>
  <c r="C188" i="1"/>
  <c r="D188" i="1"/>
  <c r="H189" i="1"/>
  <c r="I188" i="1"/>
  <c r="D176" i="1"/>
  <c r="B177" i="1"/>
  <c r="C176" i="1"/>
  <c r="H177" i="1"/>
  <c r="I176" i="1"/>
  <c r="C170" i="1"/>
  <c r="B171" i="1"/>
  <c r="D170" i="1"/>
  <c r="H171" i="1"/>
  <c r="I170" i="1"/>
  <c r="I164" i="1"/>
  <c r="H165" i="1"/>
  <c r="B165" i="1"/>
  <c r="D164" i="1"/>
  <c r="C164" i="1"/>
  <c r="I143" i="1"/>
  <c r="H144" i="1"/>
  <c r="C143" i="1"/>
  <c r="B144" i="1"/>
  <c r="D143" i="1"/>
  <c r="H138" i="1"/>
  <c r="I137" i="1"/>
  <c r="C137" i="1"/>
  <c r="B138" i="1"/>
  <c r="D137" i="1"/>
  <c r="B132" i="1"/>
  <c r="D131" i="1"/>
  <c r="C131" i="1"/>
  <c r="H132" i="1"/>
  <c r="I131" i="1"/>
  <c r="H126" i="1"/>
  <c r="I125" i="1"/>
  <c r="D125" i="1"/>
  <c r="B126" i="1"/>
  <c r="C125" i="1"/>
  <c r="I119" i="1"/>
  <c r="H120" i="1"/>
  <c r="D121" i="1"/>
  <c r="C121" i="1"/>
  <c r="C119" i="1"/>
  <c r="D119" i="1"/>
  <c r="B120" i="1"/>
  <c r="H84" i="1"/>
  <c r="I83" i="1"/>
  <c r="B84" i="1"/>
  <c r="D83" i="1"/>
  <c r="C83" i="1"/>
  <c r="I77" i="1"/>
  <c r="H78" i="1"/>
  <c r="B78" i="1"/>
  <c r="C77" i="1"/>
  <c r="D77" i="1"/>
  <c r="H72" i="1"/>
  <c r="I71" i="1"/>
  <c r="D71" i="1"/>
  <c r="B72" i="1"/>
  <c r="C71" i="1"/>
  <c r="C65" i="1"/>
  <c r="B66" i="1"/>
  <c r="D65" i="1"/>
  <c r="H66" i="1"/>
  <c r="I65" i="1"/>
  <c r="I59" i="1"/>
  <c r="H60" i="1"/>
  <c r="C59" i="1"/>
  <c r="B60" i="1"/>
  <c r="D59" i="1"/>
  <c r="D242" i="1"/>
  <c r="C242" i="1"/>
  <c r="B243" i="1"/>
  <c r="H243" i="1"/>
  <c r="I242" i="1"/>
  <c r="B237" i="1"/>
  <c r="C236" i="1"/>
  <c r="D236" i="1"/>
  <c r="H237" i="1"/>
  <c r="I236" i="1"/>
  <c r="D178" i="1"/>
  <c r="H226" i="1"/>
  <c r="I226" i="1" s="1"/>
  <c r="I225" i="1"/>
  <c r="D225" i="1"/>
  <c r="C225" i="1"/>
  <c r="B226" i="1"/>
  <c r="H231" i="1"/>
  <c r="I230" i="1"/>
  <c r="B231" i="1"/>
  <c r="D230" i="1"/>
  <c r="C230" i="1"/>
  <c r="D232" i="1"/>
  <c r="C232" i="1"/>
  <c r="I224" i="1"/>
  <c r="D224" i="1"/>
  <c r="C224" i="1"/>
  <c r="C304" i="1"/>
  <c r="D139" i="1"/>
  <c r="C139" i="1"/>
  <c r="C149" i="1"/>
  <c r="D79" i="1"/>
  <c r="C79" i="1"/>
  <c r="B150" i="1"/>
  <c r="B151" i="1" s="1"/>
  <c r="C298" i="1"/>
  <c r="D298" i="1"/>
  <c r="C310" i="1"/>
  <c r="D314" i="1"/>
  <c r="C314" i="1"/>
  <c r="B315" i="1"/>
  <c r="H150" i="1"/>
  <c r="I149" i="1"/>
  <c r="H315" i="1"/>
  <c r="I314" i="1"/>
  <c r="C238" i="1"/>
  <c r="D238" i="1"/>
  <c r="C166" i="1"/>
  <c r="C340" i="1"/>
  <c r="D340" i="1"/>
  <c r="D286" i="1"/>
  <c r="C286" i="1"/>
  <c r="D172" i="1"/>
  <c r="D156" i="1"/>
  <c r="C156" i="1"/>
  <c r="D250" i="1"/>
  <c r="C250" i="1"/>
  <c r="D145" i="1"/>
  <c r="C145" i="1"/>
  <c r="D61" i="1"/>
  <c r="C61" i="1"/>
  <c r="D244" i="1"/>
  <c r="C244" i="1"/>
  <c r="D73" i="1"/>
  <c r="C73" i="1"/>
  <c r="D127" i="1"/>
  <c r="C127" i="1"/>
  <c r="D190" i="1"/>
  <c r="C190" i="1"/>
  <c r="C317" i="1"/>
  <c r="D317" i="1"/>
  <c r="D67" i="1"/>
  <c r="C67" i="1"/>
  <c r="D133" i="1"/>
  <c r="C133" i="1"/>
  <c r="C85" i="1"/>
  <c r="D85" i="1"/>
  <c r="D160" i="1"/>
  <c r="C160" i="1"/>
  <c r="D152" i="1"/>
  <c r="C152" i="1"/>
  <c r="I24" i="1"/>
  <c r="D24" i="1"/>
  <c r="C24" i="1"/>
  <c r="C25" i="1"/>
  <c r="H261" i="1"/>
  <c r="I261" i="1" s="1"/>
  <c r="I212" i="1"/>
  <c r="B213" i="1"/>
  <c r="D213" i="1" s="1"/>
  <c r="H274" i="1"/>
  <c r="I273" i="1"/>
  <c r="D272" i="1"/>
  <c r="B273" i="1"/>
  <c r="I272" i="1"/>
  <c r="H214" i="1"/>
  <c r="I213" i="1"/>
  <c r="C212" i="1"/>
  <c r="H108" i="1"/>
  <c r="B108" i="1"/>
  <c r="D107" i="1"/>
  <c r="B254" i="1"/>
  <c r="B255" i="1" s="1"/>
  <c r="B256" i="1" s="1"/>
  <c r="B262" i="1"/>
  <c r="D261" i="1"/>
  <c r="C261" i="1"/>
  <c r="C260" i="1"/>
  <c r="D260" i="1"/>
  <c r="H254" i="1"/>
  <c r="C253" i="1"/>
  <c r="D199" i="1"/>
  <c r="B200" i="1"/>
  <c r="B201" i="1" s="1"/>
  <c r="D201" i="1" s="1"/>
  <c r="B4" i="1"/>
  <c r="B5" i="1" s="1"/>
  <c r="B8" i="1"/>
  <c r="B9" i="1" s="1"/>
  <c r="B28" i="1"/>
  <c r="C28" i="1" s="1"/>
  <c r="B35" i="1"/>
  <c r="C35" i="1" s="1"/>
  <c r="B47" i="1"/>
  <c r="D47" i="1" s="1"/>
  <c r="D46" i="1"/>
  <c r="D34" i="1"/>
  <c r="D27" i="1"/>
  <c r="C469" i="1" l="1"/>
  <c r="B470" i="1"/>
  <c r="D469" i="1"/>
  <c r="B453" i="1"/>
  <c r="D452" i="1"/>
  <c r="C452" i="1"/>
  <c r="C503" i="1"/>
  <c r="B504" i="1"/>
  <c r="D503" i="1"/>
  <c r="B488" i="1"/>
  <c r="D487" i="1"/>
  <c r="C487" i="1"/>
  <c r="H505" i="1"/>
  <c r="I505" i="1" s="1"/>
  <c r="I504" i="1"/>
  <c r="H471" i="1"/>
  <c r="I471" i="1" s="1"/>
  <c r="I470" i="1"/>
  <c r="B423" i="1"/>
  <c r="C422" i="1"/>
  <c r="D422" i="1"/>
  <c r="H421" i="1"/>
  <c r="I420" i="1"/>
  <c r="H454" i="1"/>
  <c r="I454" i="1" s="1"/>
  <c r="I453" i="1"/>
  <c r="H443" i="1"/>
  <c r="I443" i="1" s="1"/>
  <c r="I442" i="1"/>
  <c r="D442" i="1"/>
  <c r="C442" i="1"/>
  <c r="B443" i="1"/>
  <c r="H408" i="1"/>
  <c r="I407" i="1"/>
  <c r="B408" i="1"/>
  <c r="D407" i="1"/>
  <c r="C407" i="1"/>
  <c r="H392" i="1"/>
  <c r="I391" i="1"/>
  <c r="D391" i="1"/>
  <c r="C391" i="1"/>
  <c r="B392" i="1"/>
  <c r="I390" i="1"/>
  <c r="D390" i="1"/>
  <c r="C390" i="1"/>
  <c r="B380" i="1"/>
  <c r="D379" i="1"/>
  <c r="C379" i="1"/>
  <c r="I379" i="1"/>
  <c r="I334" i="1"/>
  <c r="H335" i="1"/>
  <c r="B335" i="1"/>
  <c r="D334" i="1"/>
  <c r="C334" i="1"/>
  <c r="D326" i="1"/>
  <c r="C326" i="1"/>
  <c r="B327" i="1"/>
  <c r="I326" i="1"/>
  <c r="H327" i="1"/>
  <c r="I165" i="1"/>
  <c r="H166" i="1"/>
  <c r="I166" i="1" s="1"/>
  <c r="I297" i="1"/>
  <c r="H298" i="1"/>
  <c r="I298" i="1" s="1"/>
  <c r="I189" i="1"/>
  <c r="H190" i="1"/>
  <c r="I190" i="1" s="1"/>
  <c r="I285" i="1"/>
  <c r="H286" i="1"/>
  <c r="I286" i="1" s="1"/>
  <c r="I303" i="1"/>
  <c r="H304" i="1"/>
  <c r="I304" i="1" s="1"/>
  <c r="C183" i="1"/>
  <c r="D183" i="1"/>
  <c r="I171" i="1"/>
  <c r="H172" i="1"/>
  <c r="I172" i="1" s="1"/>
  <c r="I84" i="1"/>
  <c r="H85" i="1"/>
  <c r="I85" i="1" s="1"/>
  <c r="I72" i="1"/>
  <c r="H73" i="1"/>
  <c r="I73" i="1" s="1"/>
  <c r="I291" i="1"/>
  <c r="H292" i="1"/>
  <c r="I292" i="1" s="1"/>
  <c r="I60" i="1"/>
  <c r="H61" i="1"/>
  <c r="I61" i="1" s="1"/>
  <c r="I177" i="1"/>
  <c r="H178" i="1"/>
  <c r="I178" i="1" s="1"/>
  <c r="I309" i="1"/>
  <c r="H310" i="1"/>
  <c r="I310" i="1" s="1"/>
  <c r="I183" i="1"/>
  <c r="H184" i="1"/>
  <c r="I184" i="1" s="1"/>
  <c r="I66" i="1"/>
  <c r="H67" i="1"/>
  <c r="I67" i="1" s="1"/>
  <c r="I78" i="1"/>
  <c r="H79" i="1"/>
  <c r="I79" i="1" s="1"/>
  <c r="D309" i="1"/>
  <c r="C309" i="1"/>
  <c r="C303" i="1"/>
  <c r="D303" i="1"/>
  <c r="D297" i="1"/>
  <c r="C297" i="1"/>
  <c r="C291" i="1"/>
  <c r="D291" i="1"/>
  <c r="I249" i="1"/>
  <c r="H250" i="1"/>
  <c r="I250" i="1" s="1"/>
  <c r="D249" i="1"/>
  <c r="C249" i="1"/>
  <c r="D285" i="1"/>
  <c r="C285" i="1"/>
  <c r="I243" i="1"/>
  <c r="H244" i="1"/>
  <c r="I244" i="1" s="1"/>
  <c r="C189" i="1"/>
  <c r="D189" i="1"/>
  <c r="D177" i="1"/>
  <c r="C177" i="1"/>
  <c r="D171" i="1"/>
  <c r="C171" i="1"/>
  <c r="I138" i="1"/>
  <c r="H139" i="1"/>
  <c r="I139" i="1" s="1"/>
  <c r="I126" i="1"/>
  <c r="H127" i="1"/>
  <c r="I127" i="1" s="1"/>
  <c r="I132" i="1"/>
  <c r="H133" i="1"/>
  <c r="I133" i="1" s="1"/>
  <c r="I144" i="1"/>
  <c r="H145" i="1"/>
  <c r="I145" i="1" s="1"/>
  <c r="I120" i="1"/>
  <c r="H121" i="1"/>
  <c r="I121" i="1" s="1"/>
  <c r="C165" i="1"/>
  <c r="D165" i="1"/>
  <c r="D144" i="1"/>
  <c r="C144" i="1"/>
  <c r="D138" i="1"/>
  <c r="C138" i="1"/>
  <c r="D132" i="1"/>
  <c r="C132" i="1"/>
  <c r="D126" i="1"/>
  <c r="C126" i="1"/>
  <c r="D120" i="1"/>
  <c r="C120" i="1"/>
  <c r="D84" i="1"/>
  <c r="C84" i="1"/>
  <c r="D78" i="1"/>
  <c r="C78" i="1"/>
  <c r="D72" i="1"/>
  <c r="C72" i="1"/>
  <c r="D66" i="1"/>
  <c r="C66" i="1"/>
  <c r="D60" i="1"/>
  <c r="C60" i="1"/>
  <c r="I237" i="1"/>
  <c r="H238" i="1"/>
  <c r="I238" i="1" s="1"/>
  <c r="D243" i="1"/>
  <c r="C243" i="1"/>
  <c r="I231" i="1"/>
  <c r="H232" i="1"/>
  <c r="I232" i="1" s="1"/>
  <c r="D237" i="1"/>
  <c r="C237" i="1"/>
  <c r="C150" i="1"/>
  <c r="D231" i="1"/>
  <c r="C231" i="1"/>
  <c r="C226" i="1"/>
  <c r="D226" i="1"/>
  <c r="D150" i="1"/>
  <c r="H316" i="1"/>
  <c r="I316" i="1" s="1"/>
  <c r="I315" i="1"/>
  <c r="H151" i="1"/>
  <c r="I151" i="1" s="1"/>
  <c r="I150" i="1"/>
  <c r="B316" i="1"/>
  <c r="D315" i="1"/>
  <c r="C315" i="1"/>
  <c r="D151" i="1"/>
  <c r="C151" i="1"/>
  <c r="H262" i="1"/>
  <c r="H263" i="1" s="1"/>
  <c r="I263" i="1" s="1"/>
  <c r="C213" i="1"/>
  <c r="B214" i="1"/>
  <c r="D214" i="1" s="1"/>
  <c r="D273" i="1"/>
  <c r="C273" i="1"/>
  <c r="B274" i="1"/>
  <c r="H275" i="1"/>
  <c r="I274" i="1"/>
  <c r="H109" i="1"/>
  <c r="I108" i="1"/>
  <c r="H215" i="1"/>
  <c r="I214" i="1"/>
  <c r="B109" i="1"/>
  <c r="C108" i="1"/>
  <c r="D108" i="1"/>
  <c r="C254" i="1"/>
  <c r="C255" i="1"/>
  <c r="D255" i="1"/>
  <c r="D254" i="1"/>
  <c r="B263" i="1"/>
  <c r="D262" i="1"/>
  <c r="C262" i="1"/>
  <c r="B257" i="1"/>
  <c r="D256" i="1"/>
  <c r="C256" i="1"/>
  <c r="H255" i="1"/>
  <c r="I254" i="1"/>
  <c r="C8" i="1"/>
  <c r="C4" i="1"/>
  <c r="D8" i="1"/>
  <c r="D4" i="1"/>
  <c r="D28" i="1"/>
  <c r="D200" i="1"/>
  <c r="B202" i="1"/>
  <c r="C201" i="1"/>
  <c r="C200" i="1"/>
  <c r="D5" i="1"/>
  <c r="C5" i="1"/>
  <c r="D9" i="1"/>
  <c r="C9" i="1"/>
  <c r="B10" i="1"/>
  <c r="B29" i="1"/>
  <c r="D35" i="1"/>
  <c r="B36" i="1"/>
  <c r="B48" i="1"/>
  <c r="C47" i="1"/>
  <c r="H47" i="1"/>
  <c r="H48" i="1" s="1"/>
  <c r="I46" i="1"/>
  <c r="C46" i="1"/>
  <c r="I87" i="1"/>
  <c r="H88" i="1"/>
  <c r="I88" i="1" s="1"/>
  <c r="B471" i="1" l="1"/>
  <c r="D470" i="1"/>
  <c r="C470" i="1"/>
  <c r="B454" i="1"/>
  <c r="D453" i="1"/>
  <c r="C453" i="1"/>
  <c r="B505" i="1"/>
  <c r="D504" i="1"/>
  <c r="C504" i="1"/>
  <c r="C488" i="1"/>
  <c r="D488" i="1"/>
  <c r="H422" i="1"/>
  <c r="I421" i="1"/>
  <c r="B424" i="1"/>
  <c r="C423" i="1"/>
  <c r="D423" i="1"/>
  <c r="D443" i="1"/>
  <c r="C443" i="1"/>
  <c r="H409" i="1"/>
  <c r="I408" i="1"/>
  <c r="B409" i="1"/>
  <c r="C408" i="1"/>
  <c r="D408" i="1"/>
  <c r="H393" i="1"/>
  <c r="I392" i="1"/>
  <c r="D392" i="1"/>
  <c r="B393" i="1"/>
  <c r="C392" i="1"/>
  <c r="D380" i="1"/>
  <c r="B381" i="1"/>
  <c r="C380" i="1"/>
  <c r="I380" i="1"/>
  <c r="D335" i="1"/>
  <c r="B336" i="1"/>
  <c r="C335" i="1"/>
  <c r="I335" i="1"/>
  <c r="H336" i="1"/>
  <c r="H328" i="1"/>
  <c r="I327" i="1"/>
  <c r="D327" i="1"/>
  <c r="B328" i="1"/>
  <c r="B329" i="1" s="1"/>
  <c r="C327" i="1"/>
  <c r="D316" i="1"/>
  <c r="C316" i="1"/>
  <c r="I262" i="1"/>
  <c r="H264" i="1"/>
  <c r="H265" i="1" s="1"/>
  <c r="H266" i="1" s="1"/>
  <c r="B215" i="1"/>
  <c r="D215" i="1" s="1"/>
  <c r="C214" i="1"/>
  <c r="I275" i="1"/>
  <c r="H276" i="1"/>
  <c r="D274" i="1"/>
  <c r="B275" i="1"/>
  <c r="C274" i="1"/>
  <c r="I215" i="1"/>
  <c r="H216" i="1"/>
  <c r="I109" i="1"/>
  <c r="H110" i="1"/>
  <c r="C109" i="1"/>
  <c r="D109" i="1"/>
  <c r="B110" i="1"/>
  <c r="B264" i="1"/>
  <c r="C263" i="1"/>
  <c r="D263" i="1"/>
  <c r="I255" i="1"/>
  <c r="H256" i="1"/>
  <c r="C257" i="1"/>
  <c r="D257" i="1"/>
  <c r="D202" i="1"/>
  <c r="C202" i="1"/>
  <c r="B203" i="1"/>
  <c r="H89" i="1"/>
  <c r="I89" i="1" s="1"/>
  <c r="C10" i="1"/>
  <c r="B11" i="1"/>
  <c r="D10" i="1"/>
  <c r="B30" i="1"/>
  <c r="C29" i="1"/>
  <c r="D29" i="1"/>
  <c r="B37" i="1"/>
  <c r="D36" i="1"/>
  <c r="C36" i="1"/>
  <c r="D48" i="1"/>
  <c r="B49" i="1"/>
  <c r="C48" i="1"/>
  <c r="H49" i="1"/>
  <c r="I48" i="1"/>
  <c r="I47" i="1"/>
  <c r="I199" i="1"/>
  <c r="I192" i="1"/>
  <c r="I94" i="1"/>
  <c r="I34" i="1"/>
  <c r="I27" i="1"/>
  <c r="I7" i="1"/>
  <c r="I3" i="1"/>
  <c r="H8" i="1"/>
  <c r="I8" i="1" s="1"/>
  <c r="D7" i="1"/>
  <c r="C7" i="1"/>
  <c r="H200" i="1"/>
  <c r="I200" i="1" s="1"/>
  <c r="H193" i="1"/>
  <c r="I193" i="1" s="1"/>
  <c r="C471" i="1" l="1"/>
  <c r="D471" i="1"/>
  <c r="D454" i="1"/>
  <c r="C454" i="1"/>
  <c r="C505" i="1"/>
  <c r="D505" i="1"/>
  <c r="B425" i="1"/>
  <c r="D424" i="1"/>
  <c r="C424" i="1"/>
  <c r="I422" i="1"/>
  <c r="H423" i="1"/>
  <c r="H410" i="1"/>
  <c r="I409" i="1"/>
  <c r="B410" i="1"/>
  <c r="C409" i="1"/>
  <c r="D409" i="1"/>
  <c r="I393" i="1"/>
  <c r="H394" i="1"/>
  <c r="B394" i="1"/>
  <c r="C393" i="1"/>
  <c r="D393" i="1"/>
  <c r="C381" i="1"/>
  <c r="D381" i="1"/>
  <c r="D329" i="1"/>
  <c r="C329" i="1"/>
  <c r="I328" i="1"/>
  <c r="H329" i="1"/>
  <c r="I329" i="1" s="1"/>
  <c r="H337" i="1"/>
  <c r="I336" i="1"/>
  <c r="B337" i="1"/>
  <c r="D336" i="1"/>
  <c r="C336" i="1"/>
  <c r="D328" i="1"/>
  <c r="C328" i="1"/>
  <c r="I265" i="1"/>
  <c r="I264" i="1"/>
  <c r="B216" i="1"/>
  <c r="B217" i="1" s="1"/>
  <c r="C215" i="1"/>
  <c r="B276" i="1"/>
  <c r="C275" i="1"/>
  <c r="D275" i="1"/>
  <c r="I276" i="1"/>
  <c r="H277" i="1"/>
  <c r="H111" i="1"/>
  <c r="I111" i="1" s="1"/>
  <c r="I110" i="1"/>
  <c r="H217" i="1"/>
  <c r="I216" i="1"/>
  <c r="D110" i="1"/>
  <c r="C110" i="1"/>
  <c r="B111" i="1"/>
  <c r="B112" i="1" s="1"/>
  <c r="D264" i="1"/>
  <c r="C264" i="1"/>
  <c r="B265" i="1"/>
  <c r="I266" i="1"/>
  <c r="H267" i="1"/>
  <c r="H257" i="1"/>
  <c r="I257" i="1" s="1"/>
  <c r="I256" i="1"/>
  <c r="B204" i="1"/>
  <c r="D203" i="1"/>
  <c r="C203" i="1"/>
  <c r="B12" i="1"/>
  <c r="D11" i="1"/>
  <c r="C11" i="1"/>
  <c r="B31" i="1"/>
  <c r="C30" i="1"/>
  <c r="D30" i="1"/>
  <c r="B38" i="1"/>
  <c r="C37" i="1"/>
  <c r="D37" i="1"/>
  <c r="C49" i="1"/>
  <c r="D49" i="1"/>
  <c r="B50" i="1"/>
  <c r="H50" i="1"/>
  <c r="I49" i="1"/>
  <c r="H9" i="1"/>
  <c r="H201" i="1"/>
  <c r="H194" i="1"/>
  <c r="H95" i="1"/>
  <c r="H4" i="1"/>
  <c r="I4" i="1" s="1"/>
  <c r="H35" i="1"/>
  <c r="H28" i="1"/>
  <c r="I423" i="1" l="1"/>
  <c r="H424" i="1"/>
  <c r="B426" i="1"/>
  <c r="C425" i="1"/>
  <c r="D425" i="1"/>
  <c r="I410" i="1"/>
  <c r="H411" i="1"/>
  <c r="B411" i="1"/>
  <c r="D410" i="1"/>
  <c r="C410" i="1"/>
  <c r="I394" i="1"/>
  <c r="H395" i="1"/>
  <c r="B395" i="1"/>
  <c r="D394" i="1"/>
  <c r="C394" i="1"/>
  <c r="D337" i="1"/>
  <c r="C337" i="1"/>
  <c r="B338" i="1"/>
  <c r="H338" i="1"/>
  <c r="I337" i="1"/>
  <c r="C216" i="1"/>
  <c r="D216" i="1"/>
  <c r="H112" i="1"/>
  <c r="I112" i="1" s="1"/>
  <c r="H278" i="1"/>
  <c r="I277" i="1"/>
  <c r="B277" i="1"/>
  <c r="C276" i="1"/>
  <c r="D276" i="1"/>
  <c r="H218" i="1"/>
  <c r="I217" i="1"/>
  <c r="B218" i="1"/>
  <c r="D217" i="1"/>
  <c r="C217" i="1"/>
  <c r="C111" i="1"/>
  <c r="D111" i="1"/>
  <c r="B113" i="1"/>
  <c r="D112" i="1"/>
  <c r="C112" i="1"/>
  <c r="H268" i="1"/>
  <c r="I267" i="1"/>
  <c r="B266" i="1"/>
  <c r="D265" i="1"/>
  <c r="C265" i="1"/>
  <c r="I201" i="1"/>
  <c r="H202" i="1"/>
  <c r="I194" i="1"/>
  <c r="H195" i="1"/>
  <c r="D204" i="1"/>
  <c r="C204" i="1"/>
  <c r="B205" i="1"/>
  <c r="B13" i="1"/>
  <c r="C12" i="1"/>
  <c r="D12" i="1"/>
  <c r="B32" i="1"/>
  <c r="C31" i="1"/>
  <c r="D31" i="1"/>
  <c r="C38" i="1"/>
  <c r="D38" i="1"/>
  <c r="B39" i="1"/>
  <c r="D50" i="1"/>
  <c r="B51" i="1"/>
  <c r="C50" i="1"/>
  <c r="I50" i="1"/>
  <c r="H51" i="1"/>
  <c r="H29" i="1"/>
  <c r="I28" i="1"/>
  <c r="H36" i="1"/>
  <c r="H37" i="1" s="1"/>
  <c r="I35" i="1"/>
  <c r="H96" i="1"/>
  <c r="I95" i="1"/>
  <c r="I9" i="1"/>
  <c r="H10" i="1"/>
  <c r="H5" i="1"/>
  <c r="B427" i="1" l="1"/>
  <c r="D426" i="1"/>
  <c r="C426" i="1"/>
  <c r="H425" i="1"/>
  <c r="I424" i="1"/>
  <c r="H412" i="1"/>
  <c r="I412" i="1" s="1"/>
  <c r="I411" i="1"/>
  <c r="B412" i="1"/>
  <c r="D411" i="1"/>
  <c r="C411" i="1"/>
  <c r="I395" i="1"/>
  <c r="H396" i="1"/>
  <c r="B396" i="1"/>
  <c r="C395" i="1"/>
  <c r="D395" i="1"/>
  <c r="H339" i="1"/>
  <c r="I338" i="1"/>
  <c r="C338" i="1"/>
  <c r="B339" i="1"/>
  <c r="D338" i="1"/>
  <c r="H113" i="1"/>
  <c r="I113" i="1" s="1"/>
  <c r="C277" i="1"/>
  <c r="B278" i="1"/>
  <c r="D277" i="1"/>
  <c r="H279" i="1"/>
  <c r="I278" i="1"/>
  <c r="D218" i="1"/>
  <c r="C218" i="1"/>
  <c r="B219" i="1"/>
  <c r="H219" i="1"/>
  <c r="I218" i="1"/>
  <c r="D113" i="1"/>
  <c r="C113" i="1"/>
  <c r="B114" i="1"/>
  <c r="D266" i="1"/>
  <c r="C266" i="1"/>
  <c r="B267" i="1"/>
  <c r="I268" i="1"/>
  <c r="H269" i="1"/>
  <c r="I269" i="1" s="1"/>
  <c r="I202" i="1"/>
  <c r="H203" i="1"/>
  <c r="H196" i="1"/>
  <c r="I195" i="1"/>
  <c r="B206" i="1"/>
  <c r="C205" i="1"/>
  <c r="D205" i="1"/>
  <c r="D13" i="1"/>
  <c r="C13" i="1"/>
  <c r="B14" i="1"/>
  <c r="C32" i="1"/>
  <c r="D32" i="1"/>
  <c r="D39" i="1"/>
  <c r="C39" i="1"/>
  <c r="B40" i="1"/>
  <c r="D51" i="1"/>
  <c r="C51" i="1"/>
  <c r="B52" i="1"/>
  <c r="H52" i="1"/>
  <c r="I51" i="1"/>
  <c r="I96" i="1"/>
  <c r="H97" i="1"/>
  <c r="I37" i="1"/>
  <c r="H38" i="1"/>
  <c r="I36" i="1"/>
  <c r="I5" i="1"/>
  <c r="I29" i="1"/>
  <c r="H30" i="1"/>
  <c r="H11" i="1"/>
  <c r="I10" i="1"/>
  <c r="H426" i="1" l="1"/>
  <c r="I425" i="1"/>
  <c r="B428" i="1"/>
  <c r="D427" i="1"/>
  <c r="C427" i="1"/>
  <c r="D412" i="1"/>
  <c r="C412" i="1"/>
  <c r="H397" i="1"/>
  <c r="I397" i="1" s="1"/>
  <c r="I396" i="1"/>
  <c r="D396" i="1"/>
  <c r="C396" i="1"/>
  <c r="B397" i="1"/>
  <c r="H114" i="1"/>
  <c r="H115" i="1" s="1"/>
  <c r="I115" i="1" s="1"/>
  <c r="I339" i="1"/>
  <c r="H340" i="1"/>
  <c r="I340" i="1" s="1"/>
  <c r="D339" i="1"/>
  <c r="C339" i="1"/>
  <c r="H280" i="1"/>
  <c r="I280" i="1" s="1"/>
  <c r="I279" i="1"/>
  <c r="D278" i="1"/>
  <c r="C278" i="1"/>
  <c r="B279" i="1"/>
  <c r="B280" i="1" s="1"/>
  <c r="C280" i="1" s="1"/>
  <c r="H220" i="1"/>
  <c r="I220" i="1" s="1"/>
  <c r="I219" i="1"/>
  <c r="C219" i="1"/>
  <c r="B220" i="1"/>
  <c r="D219" i="1"/>
  <c r="B115" i="1"/>
  <c r="D114" i="1"/>
  <c r="C114" i="1"/>
  <c r="I114" i="1"/>
  <c r="C267" i="1"/>
  <c r="B268" i="1"/>
  <c r="D267" i="1"/>
  <c r="H204" i="1"/>
  <c r="I203" i="1"/>
  <c r="H197" i="1"/>
  <c r="I197" i="1" s="1"/>
  <c r="I196" i="1"/>
  <c r="B207" i="1"/>
  <c r="C206" i="1"/>
  <c r="D206" i="1"/>
  <c r="B15" i="1"/>
  <c r="D14" i="1"/>
  <c r="C14" i="1"/>
  <c r="C40" i="1"/>
  <c r="D40" i="1"/>
  <c r="B41" i="1"/>
  <c r="D52" i="1"/>
  <c r="C52" i="1"/>
  <c r="B53" i="1"/>
  <c r="I52" i="1"/>
  <c r="H53" i="1"/>
  <c r="H98" i="1"/>
  <c r="I97" i="1"/>
  <c r="H31" i="1"/>
  <c r="I30" i="1"/>
  <c r="H39" i="1"/>
  <c r="I38" i="1"/>
  <c r="I11" i="1"/>
  <c r="H12" i="1"/>
  <c r="B429" i="1" l="1"/>
  <c r="D428" i="1"/>
  <c r="C428" i="1"/>
  <c r="I426" i="1"/>
  <c r="H427" i="1"/>
  <c r="C397" i="1"/>
  <c r="D397" i="1"/>
  <c r="D279" i="1"/>
  <c r="C279" i="1"/>
  <c r="D220" i="1"/>
  <c r="C220" i="1"/>
  <c r="D115" i="1"/>
  <c r="C115" i="1"/>
  <c r="C268" i="1"/>
  <c r="B269" i="1"/>
  <c r="D268" i="1"/>
  <c r="H205" i="1"/>
  <c r="I204" i="1"/>
  <c r="B208" i="1"/>
  <c r="D207" i="1"/>
  <c r="C207" i="1"/>
  <c r="D15" i="1"/>
  <c r="B16" i="1"/>
  <c r="C15" i="1"/>
  <c r="D41" i="1"/>
  <c r="B42" i="1"/>
  <c r="C41" i="1"/>
  <c r="C53" i="1"/>
  <c r="B54" i="1"/>
  <c r="D53" i="1"/>
  <c r="H54" i="1"/>
  <c r="I53" i="1"/>
  <c r="I98" i="1"/>
  <c r="H99" i="1"/>
  <c r="H40" i="1"/>
  <c r="H41" i="1" s="1"/>
  <c r="I39" i="1"/>
  <c r="I31" i="1"/>
  <c r="H32" i="1"/>
  <c r="H13" i="1"/>
  <c r="I12" i="1"/>
  <c r="D3" i="1"/>
  <c r="C3" i="1"/>
  <c r="H428" i="1" l="1"/>
  <c r="I427" i="1"/>
  <c r="B430" i="1"/>
  <c r="D429" i="1"/>
  <c r="C429" i="1"/>
  <c r="D280" i="1"/>
  <c r="D269" i="1"/>
  <c r="C269" i="1"/>
  <c r="H206" i="1"/>
  <c r="I205" i="1"/>
  <c r="D208" i="1"/>
  <c r="C208" i="1"/>
  <c r="B209" i="1"/>
  <c r="C16" i="1"/>
  <c r="B17" i="1"/>
  <c r="D16" i="1"/>
  <c r="D42" i="1"/>
  <c r="B43" i="1"/>
  <c r="C42" i="1"/>
  <c r="B55" i="1"/>
  <c r="C54" i="1"/>
  <c r="D54" i="1"/>
  <c r="B88" i="1"/>
  <c r="I54" i="1"/>
  <c r="H55" i="1"/>
  <c r="I41" i="1"/>
  <c r="H42" i="1"/>
  <c r="I99" i="1"/>
  <c r="H100" i="1"/>
  <c r="H101" i="1" s="1"/>
  <c r="I32" i="1"/>
  <c r="I40" i="1"/>
  <c r="I13" i="1"/>
  <c r="H14" i="1"/>
  <c r="C34" i="1"/>
  <c r="C27" i="1"/>
  <c r="B431" i="1" l="1"/>
  <c r="D430" i="1"/>
  <c r="C430" i="1"/>
  <c r="H429" i="1"/>
  <c r="I428" i="1"/>
  <c r="I101" i="1"/>
  <c r="H102" i="1"/>
  <c r="I206" i="1"/>
  <c r="H207" i="1"/>
  <c r="D209" i="1"/>
  <c r="C209" i="1"/>
  <c r="B89" i="1"/>
  <c r="C88" i="1"/>
  <c r="D88" i="1"/>
  <c r="D17" i="1"/>
  <c r="B18" i="1"/>
  <c r="C17" i="1"/>
  <c r="B44" i="1"/>
  <c r="D43" i="1"/>
  <c r="C43" i="1"/>
  <c r="D55" i="1"/>
  <c r="C55" i="1"/>
  <c r="C87" i="1"/>
  <c r="D87" i="1"/>
  <c r="I55" i="1"/>
  <c r="I100" i="1"/>
  <c r="I42" i="1"/>
  <c r="H43" i="1"/>
  <c r="H15" i="1"/>
  <c r="I14" i="1"/>
  <c r="H430" i="1" l="1"/>
  <c r="I429" i="1"/>
  <c r="B432" i="1"/>
  <c r="D431" i="1"/>
  <c r="C431" i="1"/>
  <c r="H103" i="1"/>
  <c r="I102" i="1"/>
  <c r="H208" i="1"/>
  <c r="I207" i="1"/>
  <c r="B90" i="1"/>
  <c r="D89" i="1"/>
  <c r="C89" i="1"/>
  <c r="D18" i="1"/>
  <c r="C18" i="1"/>
  <c r="B19" i="1"/>
  <c r="C44" i="1"/>
  <c r="D44" i="1"/>
  <c r="H90" i="1"/>
  <c r="I43" i="1"/>
  <c r="H44" i="1"/>
  <c r="I15" i="1"/>
  <c r="H16" i="1"/>
  <c r="C432" i="1" l="1"/>
  <c r="D432" i="1"/>
  <c r="H431" i="1"/>
  <c r="I430" i="1"/>
  <c r="I103" i="1"/>
  <c r="H104" i="1"/>
  <c r="I104" i="1" s="1"/>
  <c r="H209" i="1"/>
  <c r="I209" i="1" s="1"/>
  <c r="I208" i="1"/>
  <c r="B95" i="1"/>
  <c r="D94" i="1"/>
  <c r="C94" i="1"/>
  <c r="B91" i="1"/>
  <c r="C90" i="1"/>
  <c r="D90" i="1"/>
  <c r="D19" i="1"/>
  <c r="C19" i="1"/>
  <c r="I90" i="1"/>
  <c r="H91" i="1"/>
  <c r="I44" i="1"/>
  <c r="I16" i="1"/>
  <c r="H17" i="1"/>
  <c r="H432" i="1" l="1"/>
  <c r="I432" i="1" s="1"/>
  <c r="I431" i="1"/>
  <c r="D192" i="1"/>
  <c r="C192" i="1"/>
  <c r="B193" i="1"/>
  <c r="B96" i="1"/>
  <c r="D95" i="1"/>
  <c r="C95" i="1"/>
  <c r="B92" i="1"/>
  <c r="D91" i="1"/>
  <c r="C91" i="1"/>
  <c r="H92" i="1"/>
  <c r="I91" i="1"/>
  <c r="I17" i="1"/>
  <c r="H18" i="1"/>
  <c r="D96" i="1" l="1"/>
  <c r="C96" i="1"/>
  <c r="B97" i="1"/>
  <c r="B194" i="1"/>
  <c r="C193" i="1"/>
  <c r="D193" i="1"/>
  <c r="C92" i="1"/>
  <c r="D92" i="1"/>
  <c r="I92" i="1"/>
  <c r="I18" i="1"/>
  <c r="H19" i="1"/>
  <c r="C199" i="1"/>
  <c r="B195" i="1" l="1"/>
  <c r="D194" i="1"/>
  <c r="C194" i="1"/>
  <c r="D97" i="1"/>
  <c r="C97" i="1"/>
  <c r="B98" i="1"/>
  <c r="I19" i="1"/>
  <c r="D98" i="1" l="1"/>
  <c r="C98" i="1"/>
  <c r="B99" i="1"/>
  <c r="B196" i="1"/>
  <c r="C195" i="1"/>
  <c r="D195" i="1"/>
  <c r="B197" i="1" l="1"/>
  <c r="D196" i="1"/>
  <c r="C196" i="1"/>
  <c r="D99" i="1"/>
  <c r="C99" i="1"/>
  <c r="B100" i="1"/>
  <c r="B101" i="1" s="1"/>
  <c r="C101" i="1" l="1"/>
  <c r="B102" i="1"/>
  <c r="D101" i="1"/>
  <c r="D100" i="1"/>
  <c r="C100" i="1"/>
  <c r="D197" i="1"/>
  <c r="C197" i="1"/>
  <c r="C102" i="1" l="1"/>
  <c r="B103" i="1"/>
  <c r="D102" i="1"/>
  <c r="D103" i="1" l="1"/>
  <c r="C103" i="1"/>
  <c r="B104" i="1"/>
  <c r="D104" i="1" l="1"/>
  <c r="C104" i="1"/>
</calcChain>
</file>

<file path=xl/sharedStrings.xml><?xml version="1.0" encoding="utf-8"?>
<sst xmlns="http://schemas.openxmlformats.org/spreadsheetml/2006/main" count="780" uniqueCount="252">
  <si>
    <t>Code</t>
  </si>
  <si>
    <t>Description</t>
  </si>
  <si>
    <t>Binary</t>
  </si>
  <si>
    <t>Hex</t>
  </si>
  <si>
    <t>NULL</t>
  </si>
  <si>
    <t>No action</t>
  </si>
  <si>
    <t>Step No.</t>
  </si>
  <si>
    <t>Comments</t>
  </si>
  <si>
    <t>C</t>
  </si>
  <si>
    <t>EQ</t>
  </si>
  <si>
    <t>IRQ</t>
  </si>
  <si>
    <t>Jump to Interrupt location held in IV</t>
  </si>
  <si>
    <t>IR is always set to 1 when IRQ active.</t>
  </si>
  <si>
    <t>PC_OUT,MEM_OUT,IR_IN,IR_SET</t>
  </si>
  <si>
    <t>PC_OUT,MEM_OUT,IR_IN</t>
  </si>
  <si>
    <t>PC_SET</t>
  </si>
  <si>
    <t>MP_OUT,MEM_OUT,REGA_IN</t>
  </si>
  <si>
    <t>MP_OUT,MEM_OUT,REGA_IN,REGA_SET</t>
  </si>
  <si>
    <t>Load IR with next instruction</t>
  </si>
  <si>
    <t>Load REG-A with data from MEM pointered to by MP</t>
  </si>
  <si>
    <t>MOV n,REGA</t>
  </si>
  <si>
    <t>Increment PC</t>
  </si>
  <si>
    <t>Move value after Instruction to REGA</t>
  </si>
  <si>
    <t>PC_OUT,MEM_OUT,REGA_IN</t>
  </si>
  <si>
    <t>Move value pointed to by the address after instruction to REGB</t>
  </si>
  <si>
    <t>MOV MEM(nn),REGA</t>
  </si>
  <si>
    <t>MOV MEM(nn),REGB</t>
  </si>
  <si>
    <t>Move value after Instruction to REGB</t>
  </si>
  <si>
    <t>Move value pointed to by the address after instruction to REGA</t>
  </si>
  <si>
    <t>MOV REGA,MEM(nn)</t>
  </si>
  <si>
    <t>Move value in REGA to the memory location pointed to by the address after instruction</t>
  </si>
  <si>
    <t>MP_OUT,REGA_OUT,MEM_IN</t>
  </si>
  <si>
    <t>Instr No.</t>
  </si>
  <si>
    <t>Actions</t>
  </si>
  <si>
    <t>SP_INC</t>
  </si>
  <si>
    <t>IRQSUP_SET</t>
  </si>
  <si>
    <t>PCL_OUT,SP_OUT,MEM_IN</t>
  </si>
  <si>
    <t>IVH_OUT,PCH_IN</t>
  </si>
  <si>
    <t>IVH_OUT,PCH_IN,PCH_SET</t>
  </si>
  <si>
    <t>IVL_OUT,PCL_IN,PCL_SET</t>
  </si>
  <si>
    <t>PCH_OUT,SP_OUT,MEM_IN</t>
  </si>
  <si>
    <t>PC_OUT,MEM_OUT,REGA_IN,REGA_SET</t>
  </si>
  <si>
    <t>PC_OUT,MEM_OUT,MPH_IN</t>
  </si>
  <si>
    <t>PC_OUT,MEM_OUT,MPH_IN,MPH_SET</t>
  </si>
  <si>
    <t>PC_OUT,MEM_OUT,MPL_IN</t>
  </si>
  <si>
    <t>PC_OUT,MEM_OUT,REGB_IN</t>
  </si>
  <si>
    <t>Move value in REGB to the memory location pointed to by the address after instruction</t>
  </si>
  <si>
    <t>MP_OUT,REGB_OUT,MEM_IN</t>
  </si>
  <si>
    <t>Load REGA with data from MEM pointered to by MP</t>
  </si>
  <si>
    <t>Load REGB with data from MEM pointered to by MP</t>
  </si>
  <si>
    <t>PC_OUT,MEM_OUT,REGB_IN,REGB_SET</t>
  </si>
  <si>
    <t>MP_OUT,MEM_OUT,REGB_IN</t>
  </si>
  <si>
    <t>MP_OUT,MEM_OUT,REGB_IN,REGB_SET</t>
  </si>
  <si>
    <t>PC_OUT,MEM_OUT,MPL_IN,MPL_SET</t>
  </si>
  <si>
    <t>MOV n,REGS</t>
  </si>
  <si>
    <t>MOV M(nn),REGS</t>
  </si>
  <si>
    <t>MOV REGS,MEM(nn)</t>
  </si>
  <si>
    <t>MOV n,FLAGS</t>
  </si>
  <si>
    <t>MOV M(nn),FLAGS</t>
  </si>
  <si>
    <t>MOV FLAGS,MEM(nn)</t>
  </si>
  <si>
    <t>MOV n,REGC</t>
  </si>
  <si>
    <t>MOV MEM(nn),REGC</t>
  </si>
  <si>
    <t>MOV REGC, MEM(nn)</t>
  </si>
  <si>
    <t>MOV n,REGF</t>
  </si>
  <si>
    <t>MOV MEM(nn),REGF</t>
  </si>
  <si>
    <t>MOV REGF,MEM(nn)</t>
  </si>
  <si>
    <t>MOV REGA,REGB</t>
  </si>
  <si>
    <t>MOV REGA,REGC</t>
  </si>
  <si>
    <t>MOV REGA,REGS</t>
  </si>
  <si>
    <t>MOV REGA,FLAGS</t>
  </si>
  <si>
    <t>MOV REGA,REGF</t>
  </si>
  <si>
    <t>MOV REGB,REGA</t>
  </si>
  <si>
    <t>MOV REGB,REGC</t>
  </si>
  <si>
    <t>MOV REGB,REGS</t>
  </si>
  <si>
    <t>MOV REGB,FLAGS</t>
  </si>
  <si>
    <t>MOV REGB,REGF</t>
  </si>
  <si>
    <t>MOV REGC,REGA</t>
  </si>
  <si>
    <t>MOV REGC,REGB</t>
  </si>
  <si>
    <t>MOV REGC,REGS</t>
  </si>
  <si>
    <t>MOV REGC,FLAGS</t>
  </si>
  <si>
    <t>MOV REGC, REGF</t>
  </si>
  <si>
    <t>MOV REGS,REGA</t>
  </si>
  <si>
    <t>MOV REGS,REGB</t>
  </si>
  <si>
    <t>MOV REGS,REGC</t>
  </si>
  <si>
    <t>MOV REGS,FLAGS</t>
  </si>
  <si>
    <t>MOV REGS,REGF</t>
  </si>
  <si>
    <t>MOV FLAGS,REGA</t>
  </si>
  <si>
    <t>MOV FLAGS,REGB</t>
  </si>
  <si>
    <t>MOV FLAGS,REGC</t>
  </si>
  <si>
    <t>MOV FLAGS,REGS</t>
  </si>
  <si>
    <t>MOV FLAGS,REGF</t>
  </si>
  <si>
    <t>EXE</t>
  </si>
  <si>
    <t>Execution function in ALU output to REGC and REGF</t>
  </si>
  <si>
    <t>REGC_IN,REGF_IN</t>
  </si>
  <si>
    <t>REGC_IN,REGF_IN,REGC_SET,REGF_SET</t>
  </si>
  <si>
    <t>PC_OUT,MEM_OUT,FLAGS_IN</t>
  </si>
  <si>
    <t>PC_OUT,MEM_OUT,FLAGS_IN,FLAGS_SET</t>
  </si>
  <si>
    <t>MP_OUT,MEM_OUT,FLAGS_IN</t>
  </si>
  <si>
    <t>MP_OUT,MEM_OUT,FLAGS_IN,FLAGS_SET</t>
  </si>
  <si>
    <t>MP_OUT,REGS_OUT,MEM_IN</t>
  </si>
  <si>
    <t>MP_OUT,MEM_OUT,REGS_IN</t>
  </si>
  <si>
    <t>MP_OUT,FLAGS_OUT,MEM_IN</t>
  </si>
  <si>
    <t>Move FLAGS to MEM pointered to by MP</t>
  </si>
  <si>
    <t>PC_OUT,MEM_OUT,REGC_IN</t>
  </si>
  <si>
    <t>PC_OUT,MEM_OUT,REGC_IN,REGB_SET</t>
  </si>
  <si>
    <t>Move value in FLAGS to the memory location pointed to by the address after instruction</t>
  </si>
  <si>
    <t>Move value pointed to by the address after instruction to FLAGS</t>
  </si>
  <si>
    <t>Move value after Instruction to FLAGS</t>
  </si>
  <si>
    <t>Move value after Instruction to REGS</t>
  </si>
  <si>
    <t>PC_OUT,MEM_OUT,REGS_IN</t>
  </si>
  <si>
    <t>MP_OUT,MEM_OUT,REGS_IN,REGS_SET</t>
  </si>
  <si>
    <t>MOV n,REGB</t>
  </si>
  <si>
    <t>MOV REGB,MEM(nn)</t>
  </si>
  <si>
    <t>MOV REGF,REGA</t>
  </si>
  <si>
    <t>MOV REGF,REGB</t>
  </si>
  <si>
    <t>MOV REGF,REGC</t>
  </si>
  <si>
    <t>MOV REGF,REGS</t>
  </si>
  <si>
    <t>Move value in REGB to REGA</t>
  </si>
  <si>
    <t>Move value in REGB to REGC</t>
  </si>
  <si>
    <t>Move value in REGB to REGS</t>
  </si>
  <si>
    <t>Move value in REGB to REGF</t>
  </si>
  <si>
    <t>Move value in REGB to FLAGS</t>
  </si>
  <si>
    <t>Move value after Instruction to REGC</t>
  </si>
  <si>
    <t>Move value after Instruction to REGF</t>
  </si>
  <si>
    <t>Move value pointed to by the address after instruction to REGF</t>
  </si>
  <si>
    <t>Move value in REGS to the memory location pointed to by the address after instruction</t>
  </si>
  <si>
    <t>Move value pointed to by the address after instruction to REGS</t>
  </si>
  <si>
    <t>PC_OUT,MEM_OUT,REGS_IN,REGS_SET</t>
  </si>
  <si>
    <t>REGS_OUT,REGA_IN</t>
  </si>
  <si>
    <t>REGS_OUT,REGA_IN,REGA_SET</t>
  </si>
  <si>
    <t>REGS_OUT,REGB_IN</t>
  </si>
  <si>
    <t>REGS_OUT,REGB_IN,REGB_SET</t>
  </si>
  <si>
    <t>Move value in REGS to REGA</t>
  </si>
  <si>
    <t>Move value in REGS to REGB</t>
  </si>
  <si>
    <t>Move value in REGS to REGC</t>
  </si>
  <si>
    <t>REGS_OUT,REGC_IN</t>
  </si>
  <si>
    <t>REGS_OUT,REGC_IN,REGC_SET</t>
  </si>
  <si>
    <t>Move value in REGS to FLAGS</t>
  </si>
  <si>
    <t>Move value in REGS to REGF</t>
  </si>
  <si>
    <t>REGS_OUT,FLAGS_IN</t>
  </si>
  <si>
    <t>REGS_OUT,FLAGS_IN,FLAGS_SET</t>
  </si>
  <si>
    <t>REGS_OUT,REGF_IN</t>
  </si>
  <si>
    <t>REGS_OUT,REGF_IN,REGF_SET</t>
  </si>
  <si>
    <t>Move value in REGA to REGB</t>
  </si>
  <si>
    <t>Move value in REGA to REGC</t>
  </si>
  <si>
    <t>Move value in REGA to REGS</t>
  </si>
  <si>
    <t>Move value in REGA to FLAGS</t>
  </si>
  <si>
    <t>Move value in REGA to REGF</t>
  </si>
  <si>
    <t>REGA_OUT,REGC_IN</t>
  </si>
  <si>
    <t>REGA_OUT,REGC_IN,REGC_SET</t>
  </si>
  <si>
    <t>REGA_OUT,REGB_IN</t>
  </si>
  <si>
    <t>REGA_OUT,REGB_IN,REGB_SET</t>
  </si>
  <si>
    <t>REGA_OUT,REGS_IN</t>
  </si>
  <si>
    <t>REGA_OUT,REGS_IN,REGS_SET</t>
  </si>
  <si>
    <t>REGA_OUT,FLAGS_IN</t>
  </si>
  <si>
    <t>REGA_OUT,FLAGS_IN,FLAGS_SET</t>
  </si>
  <si>
    <t>REGA_OUT,REGA_IN</t>
  </si>
  <si>
    <t>REGA_OUT,REGF_IN,REGF_SET</t>
  </si>
  <si>
    <t>REGA_OUT,REGF_IN</t>
  </si>
  <si>
    <t>REGA_OUT,REGA_IN,REGA_SET</t>
  </si>
  <si>
    <t>PC_OUT,MEM_OUT,REGF_IN</t>
  </si>
  <si>
    <t>PC_OUT,MEM_OUT,REGF_IN,REGF_SET</t>
  </si>
  <si>
    <t>Move value in REGF to REGA</t>
  </si>
  <si>
    <t>Move value in REGF to REGB</t>
  </si>
  <si>
    <t>Move value in REGF to REGC</t>
  </si>
  <si>
    <t>Move value in REGF to REGS</t>
  </si>
  <si>
    <t>MOV REGF,FLAGS</t>
  </si>
  <si>
    <t>REGF_OUT,REGA_IN</t>
  </si>
  <si>
    <t>REGF_OUT,REGA_IN,REGA_SET</t>
  </si>
  <si>
    <t>REGF_OUT,REGB_IN</t>
  </si>
  <si>
    <t>REGF_OUT,REGB_IN,REGB_SET</t>
  </si>
  <si>
    <t>REGF_OUT,REGC_IN</t>
  </si>
  <si>
    <t>REGF_OUT,REGC_IN,REGC_SET</t>
  </si>
  <si>
    <t>REGF_OUT,REGS_IN</t>
  </si>
  <si>
    <t>REGF_OUT,FLAGS_IN</t>
  </si>
  <si>
    <t>REGF_OUT,FLAGS_IN,FLAGS_SET</t>
  </si>
  <si>
    <t>Move value in FLAGS to REGF</t>
  </si>
  <si>
    <t>Move value in FLAGS to REGS</t>
  </si>
  <si>
    <t>Move value inFLAGS to REGC</t>
  </si>
  <si>
    <t>Move value in FLAGS to REGB</t>
  </si>
  <si>
    <t>Move value in FLAGS to REGA</t>
  </si>
  <si>
    <t>FLAGS_OUT,REGA_IN</t>
  </si>
  <si>
    <t>FLAGS_OUT,REGA_IN,REGA_SET</t>
  </si>
  <si>
    <t>FLAGS_OUT,REGB_IN</t>
  </si>
  <si>
    <t>FLAGS_OUT,REGB_IN,REGB_SET</t>
  </si>
  <si>
    <t>FLAGS_OUT,REGC_IN</t>
  </si>
  <si>
    <t>FLAGS_OUT,REGC_IN,REGC_SET</t>
  </si>
  <si>
    <t>FLAGS_OUT,REGS_IN</t>
  </si>
  <si>
    <t>FLAGS_OUT,REGS_IN,REGS_SET</t>
  </si>
  <si>
    <t>FLAGS_OUT,REGF_IN</t>
  </si>
  <si>
    <t>FLAGS_OUT,REGF_IN,REGF_SET</t>
  </si>
  <si>
    <t>MP_OUT,MEM_OUT,REGF_IN</t>
  </si>
  <si>
    <t>MP_OUT,REGF_OUT,MEM_IN</t>
  </si>
  <si>
    <t>JMP n</t>
  </si>
  <si>
    <t>Jump to the address held after the instruction</t>
  </si>
  <si>
    <t>PC_OUT,MEM_OUT,PCH_IN</t>
  </si>
  <si>
    <t>PC_OUT,MEM_OUT,PCH_IN,PCH_SET</t>
  </si>
  <si>
    <t>PC_OUT,MEM_OUT,PCL_IN</t>
  </si>
  <si>
    <t>PC_OUT,MEM_OUT,PCL_IN,PCL_SET</t>
  </si>
  <si>
    <t>Load HIGH PC with value from MEM</t>
  </si>
  <si>
    <t>Load LOW PC with value from MEM</t>
  </si>
  <si>
    <t>PC_IN</t>
  </si>
  <si>
    <t>PC_OUT,MEM_OUT,PCL_IN,PCH_SET</t>
  </si>
  <si>
    <t>Load HIGH MP with value from MEM</t>
  </si>
  <si>
    <t>Load LOW MP with value from MEM</t>
  </si>
  <si>
    <t>Load next instruction location from PCH and PCL</t>
  </si>
  <si>
    <t>JMP MEM(n)</t>
  </si>
  <si>
    <t>Jump to the address held in memory pointed to by value after the instruction</t>
  </si>
  <si>
    <t>MP_OUT,MEM_OUT,PCH_IN</t>
  </si>
  <si>
    <t>MP_OUT,MEM_OUT,PCH_IN,PCH_SET</t>
  </si>
  <si>
    <t>Load HIGH PC with value from MEM pointer to by MP</t>
  </si>
  <si>
    <t>Increment MP</t>
  </si>
  <si>
    <t>Load LOW PC with value from MEM pointer to by MP</t>
  </si>
  <si>
    <t>MP_OUT,MEM_OUT,PCL_IN</t>
  </si>
  <si>
    <t>MP_OUT,MEM_OUT,PCL_IN,PCL_SET</t>
  </si>
  <si>
    <t>JSR n</t>
  </si>
  <si>
    <t>Jump to the subroutine address held after the instruction</t>
  </si>
  <si>
    <t>REGF_OUT,REGS_IN,REGS_SET</t>
  </si>
  <si>
    <t>MPH_SET,MPL_SET</t>
  </si>
  <si>
    <t>Save PCH to MEM pointered to by ST</t>
  </si>
  <si>
    <t>Save PCL to MEM pointered to by ST</t>
  </si>
  <si>
    <t>SP_DEC</t>
  </si>
  <si>
    <t xml:space="preserve">Load PCH from MEM pointer to by SP </t>
  </si>
  <si>
    <t xml:space="preserve">Load PCL from MEM pointer to by SP </t>
  </si>
  <si>
    <t>Decrement SP</t>
  </si>
  <si>
    <t>RTN</t>
  </si>
  <si>
    <t>Return from subroutine</t>
  </si>
  <si>
    <t>Jump to the subroutine address held in memory pointed to by value after the instruction</t>
  </si>
  <si>
    <t>JSR MEM(n)</t>
  </si>
  <si>
    <t>SP_OUT,MEM_OUT,PCL_IN</t>
  </si>
  <si>
    <t>SP_OUT,MEM_OUT,PCL_IN,PCL_SET</t>
  </si>
  <si>
    <t>BCC n</t>
  </si>
  <si>
    <t>Branch if carry clear (Carry is clear)</t>
  </si>
  <si>
    <t>BCS n</t>
  </si>
  <si>
    <t>Branch if carry clear (Carry is set)</t>
  </si>
  <si>
    <t>Branch if carry set (Carry is set)</t>
  </si>
  <si>
    <t>PC_SET,LAST_STEP</t>
  </si>
  <si>
    <t>PC_IN,PC_SET,LAST_STEP</t>
  </si>
  <si>
    <t>Increment PC to next instruction and last step</t>
  </si>
  <si>
    <t>Inc PC to next instruction and last step</t>
  </si>
  <si>
    <t>Set PC and last step</t>
  </si>
  <si>
    <t>Skip over jmp address (Second byte) and last step</t>
  </si>
  <si>
    <t>Skip over jmp address (First byte)</t>
  </si>
  <si>
    <t>Branch if carry set (Carry is clear)</t>
  </si>
  <si>
    <t>SP_OUT,MEM_OUT,PCH_IN</t>
  </si>
  <si>
    <t>SP_OUT,MEM_OUT,PCH_IN,PCL_SET</t>
  </si>
  <si>
    <t>BEC n</t>
  </si>
  <si>
    <t>BES n</t>
  </si>
  <si>
    <t>Branch if equals clear (Equals is clear)</t>
  </si>
  <si>
    <t>Branch if equals clear (Equlas is set)</t>
  </si>
  <si>
    <t>Branch if equals set (equals is set)</t>
  </si>
  <si>
    <t>Branch if equals set (equals is clear)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</si>
</sst>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0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5" tint="0.599963377788628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07">
    <xf numFmtId="0" fontId="0" fillId="0" borderId="0" xfId="0"/>
    <xf numFmtId="0" fontId="0" fillId="0" borderId="0" xfId="0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64" fontId="0" fillId="0" borderId="0" xfId="0" applyNumberFormat="1" applyAlignment="1">
      <alignment horizontal="right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Font="1" applyAlignment="1">
      <alignment horizontal="right"/>
    </xf>
    <xf numFmtId="0" fontId="0" fillId="0" borderId="0" xfId="0" applyFont="1" applyFill="1" applyBorder="1"/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3" applyFill="1"/>
    <xf numFmtId="164" fontId="3" fillId="0" borderId="0" xfId="2" applyNumberFormat="1" applyFill="1" applyAlignment="1">
      <alignment horizontal="right"/>
    </xf>
    <xf numFmtId="1" fontId="3" fillId="0" borderId="0" xfId="2" applyNumberFormat="1" applyFill="1" applyAlignment="1">
      <alignment horizontal="right"/>
    </xf>
    <xf numFmtId="0" fontId="3" fillId="0" borderId="0" xfId="2" applyFill="1"/>
    <xf numFmtId="0" fontId="3" fillId="0" borderId="0" xfId="2" applyFill="1" applyAlignment="1">
      <alignment horizontal="center" vertical="center"/>
    </xf>
    <xf numFmtId="164" fontId="2" fillId="0" borderId="0" xfId="1" applyNumberFormat="1" applyFill="1" applyAlignment="1">
      <alignment horizontal="right"/>
    </xf>
    <xf numFmtId="1" fontId="2" fillId="0" borderId="0" xfId="1" applyNumberFormat="1" applyFill="1" applyAlignment="1">
      <alignment horizontal="right"/>
    </xf>
    <xf numFmtId="0" fontId="2" fillId="0" borderId="0" xfId="1" applyFill="1"/>
    <xf numFmtId="0" fontId="2" fillId="0" borderId="0" xfId="1" applyFill="1" applyAlignment="1">
      <alignment horizontal="center" vertical="center"/>
    </xf>
    <xf numFmtId="0" fontId="0" fillId="0" borderId="0" xfId="0" applyFill="1"/>
    <xf numFmtId="1" fontId="0" fillId="0" borderId="0" xfId="0" applyNumberFormat="1" applyFill="1" applyAlignment="1">
      <alignment horizontal="right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top"/>
    </xf>
    <xf numFmtId="1" fontId="0" fillId="0" borderId="0" xfId="0" applyNumberFormat="1" applyFill="1" applyAlignment="1">
      <alignment horizontal="left" vertical="top"/>
    </xf>
    <xf numFmtId="0" fontId="2" fillId="0" borderId="0" xfId="1" applyFill="1" applyAlignment="1">
      <alignment horizontal="left" vertical="top" wrapText="1"/>
    </xf>
    <xf numFmtId="0" fontId="2" fillId="0" borderId="0" xfId="1" applyFill="1" applyAlignment="1">
      <alignment horizontal="center" vertical="center" wrapText="1"/>
    </xf>
    <xf numFmtId="0" fontId="3" fillId="0" borderId="0" xfId="2" applyFill="1" applyAlignment="1">
      <alignment horizontal="left" vertical="top" wrapText="1"/>
    </xf>
    <xf numFmtId="0" fontId="3" fillId="0" borderId="0" xfId="2" applyFill="1" applyAlignment="1">
      <alignment horizontal="center" vertical="center" wrapText="1"/>
    </xf>
    <xf numFmtId="0" fontId="4" fillId="0" borderId="0" xfId="3" applyFill="1" applyAlignment="1">
      <alignment horizontal="left" vertical="top" wrapText="1"/>
    </xf>
    <xf numFmtId="0" fontId="4" fillId="0" borderId="0" xfId="3" applyFill="1" applyAlignment="1">
      <alignment horizontal="center" vertical="center" wrapText="1"/>
    </xf>
    <xf numFmtId="0" fontId="2" fillId="0" borderId="0" xfId="1" applyFill="1" applyAlignment="1">
      <alignment horizontal="right"/>
    </xf>
    <xf numFmtId="0" fontId="3" fillId="0" borderId="0" xfId="2" applyFill="1" applyAlignment="1">
      <alignment horizontal="right"/>
    </xf>
    <xf numFmtId="1" fontId="0" fillId="0" borderId="0" xfId="0" applyNumberFormat="1" applyAlignment="1">
      <alignment horizontal="right" vertical="center"/>
    </xf>
    <xf numFmtId="1" fontId="0" fillId="0" borderId="0" xfId="0" applyNumberFormat="1" applyFill="1" applyAlignment="1">
      <alignment horizontal="right" vertical="center"/>
    </xf>
    <xf numFmtId="0" fontId="2" fillId="0" borderId="0" xfId="1" applyFill="1" applyAlignment="1">
      <alignment horizontal="right" vertical="center"/>
    </xf>
    <xf numFmtId="0" fontId="3" fillId="0" borderId="0" xfId="2" applyFill="1" applyAlignment="1">
      <alignment horizontal="right" vertical="center"/>
    </xf>
    <xf numFmtId="0" fontId="0" fillId="0" borderId="0" xfId="0" applyAlignment="1">
      <alignment horizontal="right" vertical="center"/>
    </xf>
    <xf numFmtId="1" fontId="2" fillId="0" borderId="0" xfId="1" applyNumberFormat="1" applyFill="1" applyAlignment="1">
      <alignment horizontal="right" vertical="center"/>
    </xf>
    <xf numFmtId="1" fontId="3" fillId="0" borderId="0" xfId="2" applyNumberFormat="1" applyFill="1" applyAlignment="1">
      <alignment horizontal="right" vertical="center"/>
    </xf>
    <xf numFmtId="0" fontId="5" fillId="0" borderId="0" xfId="3" applyFont="1" applyFill="1"/>
    <xf numFmtId="1" fontId="5" fillId="0" borderId="0" xfId="2" applyNumberFormat="1" applyFont="1" applyFill="1" applyAlignment="1">
      <alignment horizontal="right" vertical="center"/>
    </xf>
    <xf numFmtId="164" fontId="5" fillId="0" borderId="0" xfId="2" applyNumberFormat="1" applyFont="1" applyFill="1" applyAlignment="1">
      <alignment horizontal="right"/>
    </xf>
    <xf numFmtId="1" fontId="5" fillId="0" borderId="0" xfId="2" applyNumberFormat="1" applyFont="1" applyFill="1" applyAlignment="1">
      <alignment horizontal="right"/>
    </xf>
    <xf numFmtId="0" fontId="5" fillId="0" borderId="0" xfId="2" applyFont="1" applyFill="1"/>
    <xf numFmtId="0" fontId="5" fillId="0" borderId="0" xfId="2" applyFont="1" applyFill="1" applyAlignment="1">
      <alignment horizontal="center" vertical="center"/>
    </xf>
    <xf numFmtId="0" fontId="5" fillId="0" borderId="0" xfId="0" applyFont="1"/>
    <xf numFmtId="1" fontId="5" fillId="0" borderId="0" xfId="1" applyNumberFormat="1" applyFont="1" applyFill="1" applyAlignment="1">
      <alignment horizontal="right" vertical="center"/>
    </xf>
    <xf numFmtId="164" fontId="5" fillId="0" borderId="0" xfId="1" applyNumberFormat="1" applyFont="1" applyFill="1" applyAlignment="1">
      <alignment horizontal="right"/>
    </xf>
    <xf numFmtId="1" fontId="5" fillId="0" borderId="0" xfId="1" applyNumberFormat="1" applyFont="1" applyFill="1" applyAlignment="1">
      <alignment horizontal="right"/>
    </xf>
    <xf numFmtId="0" fontId="5" fillId="0" borderId="0" xfId="1" applyFont="1" applyFill="1"/>
    <xf numFmtId="0" fontId="5" fillId="0" borderId="0" xfId="1" applyFont="1" applyFill="1" applyAlignment="1">
      <alignment horizontal="center" vertical="center"/>
    </xf>
    <xf numFmtId="1" fontId="5" fillId="0" borderId="0" xfId="0" applyNumberFormat="1" applyFont="1" applyFill="1" applyAlignment="1">
      <alignment horizontal="right" vertical="center"/>
    </xf>
    <xf numFmtId="0" fontId="5" fillId="0" borderId="0" xfId="0" applyFont="1" applyFill="1"/>
    <xf numFmtId="1" fontId="5" fillId="0" borderId="0" xfId="0" applyNumberFormat="1" applyFont="1" applyFill="1" applyAlignment="1">
      <alignment horizontal="right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1" fontId="5" fillId="0" borderId="0" xfId="0" applyNumberFormat="1" applyFont="1" applyFill="1" applyAlignment="1">
      <alignment horizontal="left" vertical="top"/>
    </xf>
    <xf numFmtId="0" fontId="5" fillId="0" borderId="0" xfId="1" applyFont="1" applyFill="1" applyAlignment="1">
      <alignment horizontal="left" vertical="top" wrapText="1"/>
    </xf>
    <xf numFmtId="0" fontId="5" fillId="0" borderId="0" xfId="1" applyFont="1" applyFill="1" applyAlignment="1">
      <alignment horizontal="center" vertical="center" wrapText="1"/>
    </xf>
    <xf numFmtId="0" fontId="5" fillId="0" borderId="0" xfId="0" applyFont="1" applyAlignment="1">
      <alignment horizontal="left" vertical="top"/>
    </xf>
    <xf numFmtId="0" fontId="5" fillId="0" borderId="0" xfId="2" applyFont="1" applyFill="1" applyAlignment="1">
      <alignment horizontal="left" vertical="top" wrapText="1"/>
    </xf>
    <xf numFmtId="0" fontId="5" fillId="0" borderId="0" xfId="2" applyFont="1" applyFill="1" applyAlignment="1">
      <alignment horizontal="center" vertical="center" wrapText="1"/>
    </xf>
    <xf numFmtId="0" fontId="5" fillId="0" borderId="0" xfId="3" applyFont="1" applyFill="1" applyAlignment="1">
      <alignment horizontal="left" vertical="top" wrapText="1"/>
    </xf>
    <xf numFmtId="0" fontId="5" fillId="0" borderId="0" xfId="3" applyFont="1" applyFill="1" applyAlignment="1">
      <alignment horizontal="center" vertical="center" wrapText="1"/>
    </xf>
    <xf numFmtId="1" fontId="5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 applyAlignment="1">
      <alignment horizontal="right"/>
    </xf>
    <xf numFmtId="1" fontId="0" fillId="5" borderId="0" xfId="0" applyNumberFormat="1" applyFill="1" applyAlignment="1">
      <alignment horizontal="right"/>
    </xf>
    <xf numFmtId="0" fontId="0" fillId="5" borderId="0" xfId="0" applyFont="1" applyFill="1"/>
    <xf numFmtId="0" fontId="0" fillId="5" borderId="0" xfId="0" applyFont="1" applyFill="1" applyAlignment="1">
      <alignment horizontal="center" vertical="center"/>
    </xf>
    <xf numFmtId="0" fontId="5" fillId="5" borderId="0" xfId="3" applyFont="1" applyFill="1"/>
    <xf numFmtId="1" fontId="5" fillId="5" borderId="0" xfId="2" applyNumberFormat="1" applyFont="1" applyFill="1" applyAlignment="1">
      <alignment horizontal="right" vertical="center"/>
    </xf>
    <xf numFmtId="0" fontId="5" fillId="5" borderId="0" xfId="2" applyFont="1" applyFill="1"/>
    <xf numFmtId="0" fontId="5" fillId="5" borderId="0" xfId="2" applyFont="1" applyFill="1" applyAlignment="1">
      <alignment horizontal="center" vertical="center"/>
    </xf>
    <xf numFmtId="0" fontId="0" fillId="5" borderId="0" xfId="0" applyFont="1" applyFill="1" applyBorder="1"/>
    <xf numFmtId="0" fontId="5" fillId="5" borderId="0" xfId="0" applyFont="1" applyFill="1"/>
    <xf numFmtId="1" fontId="5" fillId="5" borderId="0" xfId="1" applyNumberFormat="1" applyFont="1" applyFill="1" applyAlignment="1">
      <alignment horizontal="right" vertical="center"/>
    </xf>
    <xf numFmtId="0" fontId="5" fillId="5" borderId="0" xfId="1" applyFont="1" applyFill="1"/>
    <xf numFmtId="0" fontId="5" fillId="5" borderId="0" xfId="1" applyFont="1" applyFill="1" applyAlignment="1">
      <alignment horizontal="center" vertical="center"/>
    </xf>
    <xf numFmtId="0" fontId="1" fillId="6" borderId="1" xfId="0" applyFont="1" applyFill="1" applyBorder="1" applyProtection="1"/>
    <xf numFmtId="0" fontId="1" fillId="6" borderId="1" xfId="0" applyFont="1" applyFill="1" applyBorder="1" applyAlignment="1" applyProtection="1">
      <alignment horizontal="center"/>
    </xf>
    <xf numFmtId="49" fontId="1" fillId="6" borderId="1" xfId="0" applyNumberFormat="1" applyFont="1" applyFill="1" applyBorder="1" applyAlignment="1" applyProtection="1">
      <alignment horizontal="center"/>
    </xf>
    <xf numFmtId="0" fontId="1" fillId="6" borderId="1" xfId="0" applyFont="1" applyFill="1" applyBorder="1" applyAlignment="1" applyProtection="1">
      <alignment horizontal="center" vertical="center"/>
    </xf>
    <xf numFmtId="0" fontId="1" fillId="6" borderId="0" xfId="0" applyFont="1" applyFill="1" applyBorder="1" applyProtection="1"/>
    <xf numFmtId="0" fontId="1" fillId="6" borderId="0" xfId="0" applyFont="1" applyFill="1" applyBorder="1" applyAlignment="1" applyProtection="1">
      <alignment horizontal="center"/>
    </xf>
    <xf numFmtId="49" fontId="1" fillId="6" borderId="0" xfId="0" applyNumberFormat="1" applyFont="1" applyFill="1" applyBorder="1" applyAlignment="1" applyProtection="1">
      <alignment horizontal="center"/>
    </xf>
    <xf numFmtId="0" fontId="1" fillId="6" borderId="0" xfId="0" applyFont="1" applyFill="1" applyBorder="1" applyAlignment="1" applyProtection="1">
      <alignment horizontal="center" vertical="center"/>
    </xf>
    <xf numFmtId="0" fontId="5" fillId="5" borderId="0" xfId="0" applyFont="1" applyFill="1" applyAlignment="1">
      <alignment horizontal="left" vertical="top"/>
    </xf>
    <xf numFmtId="1" fontId="5" fillId="5" borderId="0" xfId="0" applyNumberFormat="1" applyFont="1" applyFill="1" applyAlignment="1">
      <alignment horizontal="right" vertical="center"/>
    </xf>
    <xf numFmtId="0" fontId="5" fillId="5" borderId="0" xfId="0" applyFont="1" applyFill="1" applyAlignment="1">
      <alignment horizontal="center" vertical="center"/>
    </xf>
    <xf numFmtId="164" fontId="0" fillId="0" borderId="0" xfId="0" applyNumberFormat="1" applyFill="1" applyAlignment="1">
      <alignment horizontal="right"/>
    </xf>
    <xf numFmtId="1" fontId="0" fillId="0" borderId="0" xfId="0" applyNumberFormat="1" applyFill="1"/>
    <xf numFmtId="0" fontId="0" fillId="0" borderId="0" xfId="0" applyFont="1" applyFill="1"/>
    <xf numFmtId="0" fontId="0" fillId="0" borderId="0" xfId="0" applyFont="1" applyFill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22069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3"/>
  <sheetViews>
    <sheetView tabSelected="1" workbookViewId="0">
      <pane ySplit="1" topLeftCell="A357" activePane="bottomLeft" state="frozen"/>
      <selection pane="bottomLeft" activeCell="E366" sqref="E366"/>
    </sheetView>
  </sheetViews>
  <sheetFormatPr defaultRowHeight="15" x14ac:dyDescent="0.25"/>
  <cols>
    <col min="1" max="1" width="20" customWidth="1"/>
    <col min="2" max="2" width="12" customWidth="1"/>
    <col min="3" max="3" width="9.5703125" customWidth="1"/>
    <col min="4" max="4" width="5.5703125" style="2" customWidth="1"/>
    <col min="5" max="5" width="77.5703125" customWidth="1"/>
    <col min="6" max="7" width="6.28515625" style="13" customWidth="1"/>
    <col min="8" max="8" width="9.28515625" customWidth="1"/>
    <col min="9" max="9" width="6.5703125" customWidth="1"/>
    <col min="10" max="10" width="40" customWidth="1"/>
    <col min="11" max="11" width="48.28515625" customWidth="1"/>
    <col min="12" max="12" width="52.85546875" customWidth="1"/>
  </cols>
  <sheetData>
    <row r="1" spans="1:11" s="92" customFormat="1" x14ac:dyDescent="0.25">
      <c r="A1" s="92" t="s">
        <v>0</v>
      </c>
      <c r="B1" s="93" t="s">
        <v>32</v>
      </c>
      <c r="C1" s="93" t="s">
        <v>2</v>
      </c>
      <c r="D1" s="94" t="s">
        <v>3</v>
      </c>
      <c r="E1" s="92" t="s">
        <v>1</v>
      </c>
      <c r="F1" s="95" t="s">
        <v>8</v>
      </c>
      <c r="G1" s="95" t="s">
        <v>9</v>
      </c>
      <c r="H1" s="92" t="s">
        <v>6</v>
      </c>
      <c r="I1" s="92" t="s">
        <v>2</v>
      </c>
      <c r="J1" s="92" t="s">
        <v>33</v>
      </c>
      <c r="K1" s="92" t="s">
        <v>7</v>
      </c>
    </row>
    <row r="2" spans="1:11" s="96" customFormat="1" x14ac:dyDescent="0.25">
      <c r="B2" s="97"/>
      <c r="C2" s="97"/>
      <c r="D2" s="98"/>
      <c r="F2" s="99"/>
      <c r="G2" s="99"/>
    </row>
    <row r="3" spans="1:11" s="77" customFormat="1" x14ac:dyDescent="0.25">
      <c r="A3" s="77" t="s">
        <v>4</v>
      </c>
      <c r="B3" s="78">
        <v>0</v>
      </c>
      <c r="C3" s="79" t="str">
        <f t="shared" ref="C3:C34" si="0">TEXT(DEC2BIN(B3), "00000000")</f>
        <v>00000000</v>
      </c>
      <c r="D3" s="80" t="str">
        <f t="shared" ref="D3:D55" si="1">DEC2HEX(B3)</f>
        <v>0</v>
      </c>
      <c r="E3" s="81" t="s">
        <v>5</v>
      </c>
      <c r="F3" s="82"/>
      <c r="G3" s="82"/>
      <c r="H3" s="81">
        <v>0</v>
      </c>
      <c r="I3" s="79" t="str">
        <f>TEXT(DEC2BIN(H3), "00000")</f>
        <v>00000</v>
      </c>
      <c r="J3" s="81" t="s">
        <v>14</v>
      </c>
      <c r="K3" s="81" t="s">
        <v>18</v>
      </c>
    </row>
    <row r="4" spans="1:11" x14ac:dyDescent="0.25">
      <c r="B4" s="3">
        <f t="shared" ref="B4:B5" si="2">(B3)</f>
        <v>0</v>
      </c>
      <c r="C4" s="4" t="str">
        <f t="shared" si="0"/>
        <v>00000000</v>
      </c>
      <c r="D4" s="2" t="str">
        <f t="shared" si="1"/>
        <v>0</v>
      </c>
      <c r="E4" s="1"/>
      <c r="F4" s="12"/>
      <c r="G4" s="12"/>
      <c r="H4" s="1">
        <f>H3+1</f>
        <v>1</v>
      </c>
      <c r="I4" s="4" t="str">
        <f>TEXT(DEC2BIN(H4), "00000")</f>
        <v>00001</v>
      </c>
      <c r="J4" s="1" t="s">
        <v>13</v>
      </c>
      <c r="K4" s="1"/>
    </row>
    <row r="5" spans="1:11" x14ac:dyDescent="0.25">
      <c r="B5" s="3">
        <f t="shared" si="2"/>
        <v>0</v>
      </c>
      <c r="C5" s="4" t="str">
        <f t="shared" si="0"/>
        <v>00000000</v>
      </c>
      <c r="D5" s="2" t="str">
        <f t="shared" si="1"/>
        <v>0</v>
      </c>
      <c r="E5" s="1"/>
      <c r="F5" s="12"/>
      <c r="G5" s="12"/>
      <c r="H5" s="1">
        <f>H4+1</f>
        <v>2</v>
      </c>
      <c r="I5" s="4" t="str">
        <f>TEXT(DEC2BIN(H5), "00000")</f>
        <v>00010</v>
      </c>
      <c r="J5" s="1" t="s">
        <v>236</v>
      </c>
      <c r="K5" s="1" t="s">
        <v>238</v>
      </c>
    </row>
    <row r="6" spans="1:11" x14ac:dyDescent="0.25">
      <c r="B6" s="3"/>
      <c r="C6" s="4"/>
      <c r="E6" s="1"/>
      <c r="F6" s="12"/>
      <c r="G6" s="12"/>
      <c r="H6" s="1"/>
      <c r="I6" s="4"/>
      <c r="J6" s="1"/>
      <c r="K6" s="1"/>
    </row>
    <row r="7" spans="1:11" s="77" customFormat="1" x14ac:dyDescent="0.25">
      <c r="A7" s="77" t="s">
        <v>10</v>
      </c>
      <c r="B7" s="78">
        <v>1</v>
      </c>
      <c r="C7" s="79" t="str">
        <f t="shared" ref="C7" si="3">TEXT(DEC2BIN(B7), "00000000")</f>
        <v>00000001</v>
      </c>
      <c r="D7" s="80" t="str">
        <f t="shared" ref="D7" si="4">DEC2HEX(B7)</f>
        <v>1</v>
      </c>
      <c r="E7" s="81" t="s">
        <v>11</v>
      </c>
      <c r="F7" s="82"/>
      <c r="G7" s="82"/>
      <c r="H7" s="81">
        <v>0</v>
      </c>
      <c r="I7" s="79" t="str">
        <f t="shared" ref="I7:I22" si="5">TEXT(DEC2BIN(H7), "00000")</f>
        <v>00000</v>
      </c>
      <c r="J7" s="81" t="s">
        <v>14</v>
      </c>
      <c r="K7" s="81" t="s">
        <v>12</v>
      </c>
    </row>
    <row r="8" spans="1:11" x14ac:dyDescent="0.25">
      <c r="B8" s="3">
        <f t="shared" ref="B8:B19" si="6">(B7)</f>
        <v>1</v>
      </c>
      <c r="C8" s="4" t="str">
        <f t="shared" ref="C8:C19" si="7">TEXT(DEC2BIN(B8), "00000000")</f>
        <v>00000001</v>
      </c>
      <c r="D8" s="2" t="str">
        <f t="shared" ref="D8:D19" si="8">DEC2HEX(B8)</f>
        <v>1</v>
      </c>
      <c r="E8" s="1"/>
      <c r="F8" s="12"/>
      <c r="G8" s="12"/>
      <c r="H8" s="1">
        <f t="shared" ref="H8:H19" si="9">H7+1</f>
        <v>1</v>
      </c>
      <c r="I8" s="4" t="str">
        <f t="shared" si="5"/>
        <v>00001</v>
      </c>
      <c r="J8" s="1" t="s">
        <v>13</v>
      </c>
      <c r="K8" s="1"/>
    </row>
    <row r="9" spans="1:11" x14ac:dyDescent="0.25">
      <c r="B9" s="3">
        <f t="shared" si="6"/>
        <v>1</v>
      </c>
      <c r="C9" s="4" t="str">
        <f t="shared" si="7"/>
        <v>00000001</v>
      </c>
      <c r="D9" s="2" t="str">
        <f t="shared" si="8"/>
        <v>1</v>
      </c>
      <c r="E9" s="1"/>
      <c r="F9" s="12"/>
      <c r="G9" s="12"/>
      <c r="H9" s="1">
        <f t="shared" si="9"/>
        <v>2</v>
      </c>
      <c r="I9" s="4" t="str">
        <f t="shared" si="5"/>
        <v>00010</v>
      </c>
      <c r="J9" s="1" t="s">
        <v>35</v>
      </c>
      <c r="K9" s="1"/>
    </row>
    <row r="10" spans="1:11" x14ac:dyDescent="0.25">
      <c r="B10" s="3">
        <f t="shared" si="6"/>
        <v>1</v>
      </c>
      <c r="C10" s="4" t="str">
        <f t="shared" si="7"/>
        <v>00000001</v>
      </c>
      <c r="D10" s="2" t="str">
        <f t="shared" si="8"/>
        <v>1</v>
      </c>
      <c r="E10" s="1"/>
      <c r="F10" s="12"/>
      <c r="G10" s="12"/>
      <c r="H10" s="1">
        <f t="shared" si="9"/>
        <v>3</v>
      </c>
      <c r="I10" s="4" t="str">
        <f t="shared" si="5"/>
        <v>00011</v>
      </c>
      <c r="J10" s="1" t="s">
        <v>34</v>
      </c>
      <c r="K10" s="1"/>
    </row>
    <row r="11" spans="1:11" x14ac:dyDescent="0.25">
      <c r="B11" s="3">
        <f t="shared" si="6"/>
        <v>1</v>
      </c>
      <c r="C11" s="4" t="str">
        <f t="shared" si="7"/>
        <v>00000001</v>
      </c>
      <c r="D11" s="2" t="str">
        <f t="shared" si="8"/>
        <v>1</v>
      </c>
      <c r="E11" s="1"/>
      <c r="F11" s="12"/>
      <c r="G11" s="12"/>
      <c r="H11" s="1">
        <f t="shared" si="9"/>
        <v>4</v>
      </c>
      <c r="I11" s="4" t="str">
        <f t="shared" si="5"/>
        <v>00100</v>
      </c>
      <c r="J11" s="1" t="s">
        <v>40</v>
      </c>
      <c r="K11" s="1"/>
    </row>
    <row r="12" spans="1:11" x14ac:dyDescent="0.25">
      <c r="B12" s="3">
        <f t="shared" si="6"/>
        <v>1</v>
      </c>
      <c r="C12" s="4" t="str">
        <f t="shared" si="7"/>
        <v>00000001</v>
      </c>
      <c r="D12" s="2" t="str">
        <f t="shared" si="8"/>
        <v>1</v>
      </c>
      <c r="E12" s="1"/>
      <c r="F12" s="12"/>
      <c r="G12" s="12"/>
      <c r="H12" s="1">
        <f t="shared" si="9"/>
        <v>5</v>
      </c>
      <c r="I12" s="4" t="str">
        <f t="shared" si="5"/>
        <v>00101</v>
      </c>
      <c r="J12" s="1" t="s">
        <v>40</v>
      </c>
      <c r="K12" s="1"/>
    </row>
    <row r="13" spans="1:11" x14ac:dyDescent="0.25">
      <c r="B13" s="3">
        <f t="shared" si="6"/>
        <v>1</v>
      </c>
      <c r="C13" s="4" t="str">
        <f t="shared" si="7"/>
        <v>00000001</v>
      </c>
      <c r="D13" s="2" t="str">
        <f t="shared" si="8"/>
        <v>1</v>
      </c>
      <c r="E13" s="1"/>
      <c r="F13" s="12"/>
      <c r="G13" s="12"/>
      <c r="H13" s="1">
        <f t="shared" si="9"/>
        <v>6</v>
      </c>
      <c r="I13" s="4" t="str">
        <f t="shared" si="5"/>
        <v>00110</v>
      </c>
      <c r="J13" s="1" t="s">
        <v>34</v>
      </c>
      <c r="K13" s="1"/>
    </row>
    <row r="14" spans="1:11" x14ac:dyDescent="0.25">
      <c r="B14" s="3">
        <f t="shared" si="6"/>
        <v>1</v>
      </c>
      <c r="C14" s="4" t="str">
        <f t="shared" si="7"/>
        <v>00000001</v>
      </c>
      <c r="D14" s="2" t="str">
        <f t="shared" si="8"/>
        <v>1</v>
      </c>
      <c r="E14" s="1"/>
      <c r="F14" s="12"/>
      <c r="G14" s="12"/>
      <c r="H14" s="1">
        <f t="shared" si="9"/>
        <v>7</v>
      </c>
      <c r="I14" s="4" t="str">
        <f t="shared" si="5"/>
        <v>00111</v>
      </c>
      <c r="J14" s="1" t="s">
        <v>36</v>
      </c>
      <c r="K14" s="1"/>
    </row>
    <row r="15" spans="1:11" x14ac:dyDescent="0.25">
      <c r="B15" s="3">
        <f t="shared" si="6"/>
        <v>1</v>
      </c>
      <c r="C15" s="4" t="str">
        <f t="shared" si="7"/>
        <v>00000001</v>
      </c>
      <c r="D15" s="2" t="str">
        <f t="shared" si="8"/>
        <v>1</v>
      </c>
      <c r="E15" s="1"/>
      <c r="F15" s="12"/>
      <c r="G15" s="12"/>
      <c r="H15" s="1">
        <f t="shared" si="9"/>
        <v>8</v>
      </c>
      <c r="I15" s="4" t="str">
        <f t="shared" si="5"/>
        <v>01000</v>
      </c>
      <c r="J15" s="1" t="s">
        <v>37</v>
      </c>
      <c r="K15" s="1"/>
    </row>
    <row r="16" spans="1:11" x14ac:dyDescent="0.25">
      <c r="B16" s="3">
        <f t="shared" si="6"/>
        <v>1</v>
      </c>
      <c r="C16" s="4" t="str">
        <f t="shared" si="7"/>
        <v>00000001</v>
      </c>
      <c r="D16" s="2" t="str">
        <f t="shared" si="8"/>
        <v>1</v>
      </c>
      <c r="E16" s="1"/>
      <c r="F16" s="12"/>
      <c r="G16" s="12"/>
      <c r="H16" s="1">
        <f t="shared" si="9"/>
        <v>9</v>
      </c>
      <c r="I16" s="4" t="str">
        <f t="shared" si="5"/>
        <v>01001</v>
      </c>
      <c r="J16" s="1" t="s">
        <v>38</v>
      </c>
      <c r="K16" s="1"/>
    </row>
    <row r="17" spans="1:11" x14ac:dyDescent="0.25">
      <c r="B17" s="3">
        <f t="shared" si="6"/>
        <v>1</v>
      </c>
      <c r="C17" s="4" t="str">
        <f t="shared" si="7"/>
        <v>00000001</v>
      </c>
      <c r="D17" s="2" t="str">
        <f t="shared" si="8"/>
        <v>1</v>
      </c>
      <c r="E17" s="1"/>
      <c r="F17" s="12"/>
      <c r="G17" s="12"/>
      <c r="H17" s="1">
        <f t="shared" si="9"/>
        <v>10</v>
      </c>
      <c r="I17" s="4" t="str">
        <f t="shared" si="5"/>
        <v>01010</v>
      </c>
      <c r="J17" s="1" t="s">
        <v>39</v>
      </c>
      <c r="K17" s="1"/>
    </row>
    <row r="18" spans="1:11" x14ac:dyDescent="0.25">
      <c r="B18" s="3">
        <f t="shared" si="6"/>
        <v>1</v>
      </c>
      <c r="C18" s="4" t="str">
        <f t="shared" si="7"/>
        <v>00000001</v>
      </c>
      <c r="D18" s="2" t="str">
        <f t="shared" si="8"/>
        <v>1</v>
      </c>
      <c r="E18" s="1"/>
      <c r="F18" s="12"/>
      <c r="G18" s="12"/>
      <c r="H18" s="1">
        <f t="shared" si="9"/>
        <v>11</v>
      </c>
      <c r="I18" s="4" t="str">
        <f t="shared" si="5"/>
        <v>01011</v>
      </c>
      <c r="J18" s="1" t="s">
        <v>39</v>
      </c>
      <c r="K18" s="1"/>
    </row>
    <row r="19" spans="1:11" x14ac:dyDescent="0.25">
      <c r="B19" s="3">
        <f t="shared" si="6"/>
        <v>1</v>
      </c>
      <c r="C19" s="4" t="str">
        <f t="shared" si="7"/>
        <v>00000001</v>
      </c>
      <c r="D19" s="2" t="str">
        <f t="shared" si="8"/>
        <v>1</v>
      </c>
      <c r="E19" s="1"/>
      <c r="F19" s="12"/>
      <c r="G19" s="12"/>
      <c r="H19" s="1">
        <f t="shared" si="9"/>
        <v>12</v>
      </c>
      <c r="I19" s="4" t="str">
        <f t="shared" si="5"/>
        <v>01100</v>
      </c>
      <c r="J19" s="1" t="s">
        <v>236</v>
      </c>
      <c r="K19" s="1" t="s">
        <v>238</v>
      </c>
    </row>
    <row r="20" spans="1:11" x14ac:dyDescent="0.25">
      <c r="B20" s="3"/>
      <c r="C20" s="4"/>
      <c r="E20" s="1"/>
      <c r="F20" s="12"/>
      <c r="G20" s="12"/>
      <c r="H20" s="1"/>
      <c r="I20" s="4"/>
      <c r="J20" s="1"/>
      <c r="K20" s="1"/>
    </row>
    <row r="21" spans="1:11" s="77" customFormat="1" x14ac:dyDescent="0.25">
      <c r="A21" s="77" t="s">
        <v>91</v>
      </c>
      <c r="B21" s="78">
        <v>2</v>
      </c>
      <c r="C21" s="79" t="str">
        <f t="shared" ref="C21:C22" si="10">TEXT(DEC2BIN(B21), "00000000")</f>
        <v>00000010</v>
      </c>
      <c r="D21" s="80" t="str">
        <f t="shared" ref="D21:D22" si="11">DEC2HEX(B21)</f>
        <v>2</v>
      </c>
      <c r="E21" s="81" t="s">
        <v>92</v>
      </c>
      <c r="F21" s="82"/>
      <c r="G21" s="82"/>
      <c r="H21" s="81">
        <v>0</v>
      </c>
      <c r="I21" s="79" t="str">
        <f t="shared" si="5"/>
        <v>00000</v>
      </c>
      <c r="J21" s="81" t="s">
        <v>14</v>
      </c>
      <c r="K21" s="81"/>
    </row>
    <row r="22" spans="1:11" x14ac:dyDescent="0.25">
      <c r="B22" s="3">
        <f t="shared" ref="B22:B25" si="12">(B21)</f>
        <v>2</v>
      </c>
      <c r="C22" s="4" t="str">
        <f t="shared" si="10"/>
        <v>00000010</v>
      </c>
      <c r="D22" s="2" t="str">
        <f t="shared" si="11"/>
        <v>2</v>
      </c>
      <c r="E22" s="1"/>
      <c r="F22" s="12"/>
      <c r="G22" s="12"/>
      <c r="H22" s="1">
        <f t="shared" ref="H22:H25" si="13">H21+1</f>
        <v>1</v>
      </c>
      <c r="I22" s="4" t="str">
        <f t="shared" si="5"/>
        <v>00001</v>
      </c>
      <c r="J22" s="1" t="s">
        <v>13</v>
      </c>
      <c r="K22" s="1"/>
    </row>
    <row r="23" spans="1:11" x14ac:dyDescent="0.25">
      <c r="B23" s="3">
        <f t="shared" si="12"/>
        <v>2</v>
      </c>
      <c r="C23" s="4" t="str">
        <f t="shared" ref="C23" si="14">TEXT(DEC2BIN(B23), "00000000")</f>
        <v>00000010</v>
      </c>
      <c r="D23" s="2" t="str">
        <f t="shared" ref="D23" si="15">DEC2HEX(B23)</f>
        <v>2</v>
      </c>
      <c r="E23" s="1"/>
      <c r="F23" s="12"/>
      <c r="G23" s="12"/>
      <c r="H23" s="1">
        <f t="shared" si="13"/>
        <v>2</v>
      </c>
      <c r="I23" s="4" t="str">
        <f t="shared" ref="I23" si="16">TEXT(DEC2BIN(H23), "00000")</f>
        <v>00010</v>
      </c>
      <c r="J23" s="1" t="s">
        <v>93</v>
      </c>
      <c r="K23" s="1"/>
    </row>
    <row r="24" spans="1:11" x14ac:dyDescent="0.25">
      <c r="B24" s="3">
        <f t="shared" si="12"/>
        <v>2</v>
      </c>
      <c r="C24" s="4" t="str">
        <f t="shared" ref="C24:C25" si="17">TEXT(DEC2BIN(B24), "00000000")</f>
        <v>00000010</v>
      </c>
      <c r="D24" s="2" t="str">
        <f t="shared" ref="D24:D25" si="18">DEC2HEX(B24)</f>
        <v>2</v>
      </c>
      <c r="E24" s="1"/>
      <c r="F24" s="12"/>
      <c r="G24" s="12"/>
      <c r="H24" s="1">
        <f t="shared" si="13"/>
        <v>3</v>
      </c>
      <c r="I24" s="4" t="str">
        <f t="shared" ref="I24:I25" si="19">TEXT(DEC2BIN(H24), "00000")</f>
        <v>00011</v>
      </c>
      <c r="J24" s="1" t="s">
        <v>94</v>
      </c>
      <c r="K24" s="1"/>
    </row>
    <row r="25" spans="1:11" x14ac:dyDescent="0.25">
      <c r="B25" s="3">
        <f t="shared" si="12"/>
        <v>2</v>
      </c>
      <c r="C25" s="4" t="str">
        <f t="shared" si="17"/>
        <v>00000010</v>
      </c>
      <c r="D25" s="2" t="str">
        <f t="shared" si="18"/>
        <v>2</v>
      </c>
      <c r="E25" s="1"/>
      <c r="F25" s="12"/>
      <c r="G25" s="12"/>
      <c r="H25" s="1">
        <f t="shared" si="13"/>
        <v>4</v>
      </c>
      <c r="I25" s="4" t="str">
        <f t="shared" si="19"/>
        <v>00100</v>
      </c>
      <c r="J25" s="1" t="s">
        <v>236</v>
      </c>
      <c r="K25" s="1"/>
    </row>
    <row r="26" spans="1:11" x14ac:dyDescent="0.25">
      <c r="B26" s="3"/>
      <c r="C26" s="4"/>
      <c r="E26" s="1"/>
      <c r="F26" s="12"/>
      <c r="G26" s="12"/>
      <c r="H26" s="1"/>
      <c r="I26" s="4"/>
      <c r="J26" s="1"/>
      <c r="K26" s="1"/>
    </row>
    <row r="27" spans="1:11" s="77" customFormat="1" x14ac:dyDescent="0.25">
      <c r="A27" s="77" t="s">
        <v>20</v>
      </c>
      <c r="B27" s="78">
        <v>32</v>
      </c>
      <c r="C27" s="79" t="str">
        <f t="shared" si="0"/>
        <v>00100000</v>
      </c>
      <c r="D27" s="80" t="str">
        <f t="shared" si="1"/>
        <v>20</v>
      </c>
      <c r="E27" s="81" t="s">
        <v>22</v>
      </c>
      <c r="F27" s="82"/>
      <c r="G27" s="82"/>
      <c r="H27" s="81">
        <v>0</v>
      </c>
      <c r="I27" s="79" t="str">
        <f t="shared" ref="I27:I32" si="20">TEXT(DEC2BIN(H27), "00000")</f>
        <v>00000</v>
      </c>
      <c r="J27" s="81" t="s">
        <v>14</v>
      </c>
      <c r="K27" s="81"/>
    </row>
    <row r="28" spans="1:11" x14ac:dyDescent="0.25">
      <c r="B28" s="3">
        <f t="shared" ref="B28:B32" si="21">(B27)</f>
        <v>32</v>
      </c>
      <c r="C28" s="4" t="str">
        <f t="shared" ref="C28:C32" si="22">TEXT(DEC2BIN(B28), "00000000")</f>
        <v>00100000</v>
      </c>
      <c r="D28" s="2" t="str">
        <f t="shared" si="1"/>
        <v>20</v>
      </c>
      <c r="E28" s="1"/>
      <c r="F28" s="12"/>
      <c r="G28" s="12"/>
      <c r="H28" s="1">
        <f t="shared" ref="H28:H32" si="23">H27+1</f>
        <v>1</v>
      </c>
      <c r="I28" s="4" t="str">
        <f t="shared" si="20"/>
        <v>00001</v>
      </c>
      <c r="J28" s="1" t="s">
        <v>13</v>
      </c>
      <c r="K28" s="1"/>
    </row>
    <row r="29" spans="1:11" x14ac:dyDescent="0.25">
      <c r="B29" s="3">
        <f t="shared" si="21"/>
        <v>32</v>
      </c>
      <c r="C29" s="4" t="str">
        <f t="shared" si="22"/>
        <v>00100000</v>
      </c>
      <c r="D29" s="2" t="str">
        <f t="shared" si="1"/>
        <v>20</v>
      </c>
      <c r="E29" s="1"/>
      <c r="F29" s="12"/>
      <c r="G29" s="12"/>
      <c r="H29" s="11">
        <f t="shared" si="23"/>
        <v>2</v>
      </c>
      <c r="I29" s="4" t="str">
        <f t="shared" si="20"/>
        <v>00010</v>
      </c>
      <c r="J29" s="11" t="s">
        <v>15</v>
      </c>
      <c r="K29" s="11" t="s">
        <v>21</v>
      </c>
    </row>
    <row r="30" spans="1:11" x14ac:dyDescent="0.25">
      <c r="B30" s="3">
        <f t="shared" si="21"/>
        <v>32</v>
      </c>
      <c r="C30" s="4" t="str">
        <f t="shared" si="22"/>
        <v>00100000</v>
      </c>
      <c r="D30" s="2" t="str">
        <f t="shared" si="1"/>
        <v>20</v>
      </c>
      <c r="E30" s="1"/>
      <c r="F30" s="12"/>
      <c r="G30" s="12"/>
      <c r="H30" s="11">
        <f t="shared" si="23"/>
        <v>3</v>
      </c>
      <c r="I30" s="4" t="str">
        <f t="shared" si="20"/>
        <v>00011</v>
      </c>
      <c r="J30" s="1" t="s">
        <v>23</v>
      </c>
      <c r="K30" s="11"/>
    </row>
    <row r="31" spans="1:11" x14ac:dyDescent="0.25">
      <c r="B31" s="3">
        <f t="shared" si="21"/>
        <v>32</v>
      </c>
      <c r="C31" s="4" t="str">
        <f t="shared" si="22"/>
        <v>00100000</v>
      </c>
      <c r="D31" s="2" t="str">
        <f t="shared" si="1"/>
        <v>20</v>
      </c>
      <c r="E31" s="1"/>
      <c r="F31" s="12"/>
      <c r="G31" s="12"/>
      <c r="H31" s="11">
        <f t="shared" si="23"/>
        <v>4</v>
      </c>
      <c r="I31" s="4" t="str">
        <f t="shared" si="20"/>
        <v>00100</v>
      </c>
      <c r="J31" s="1" t="s">
        <v>41</v>
      </c>
      <c r="K31" s="1"/>
    </row>
    <row r="32" spans="1:11" x14ac:dyDescent="0.25">
      <c r="B32" s="3">
        <f t="shared" si="21"/>
        <v>32</v>
      </c>
      <c r="C32" s="4" t="str">
        <f t="shared" si="22"/>
        <v>00100000</v>
      </c>
      <c r="D32" s="2" t="str">
        <f t="shared" si="1"/>
        <v>20</v>
      </c>
      <c r="E32" s="1"/>
      <c r="F32" s="12"/>
      <c r="G32" s="12"/>
      <c r="H32" s="11">
        <f t="shared" si="23"/>
        <v>5</v>
      </c>
      <c r="I32" s="4" t="str">
        <f t="shared" si="20"/>
        <v>00101</v>
      </c>
      <c r="J32" s="1" t="s">
        <v>236</v>
      </c>
      <c r="K32" s="1" t="s">
        <v>239</v>
      </c>
    </row>
    <row r="33" spans="1:11" x14ac:dyDescent="0.25">
      <c r="B33" s="3"/>
      <c r="C33" s="4"/>
      <c r="E33" s="1"/>
      <c r="F33" s="12"/>
      <c r="G33" s="12"/>
      <c r="H33" s="11"/>
      <c r="I33" s="11"/>
      <c r="J33" s="1"/>
      <c r="K33" s="1"/>
    </row>
    <row r="34" spans="1:11" x14ac:dyDescent="0.25">
      <c r="A34" t="s">
        <v>25</v>
      </c>
      <c r="B34" s="3">
        <v>33</v>
      </c>
      <c r="C34" s="4" t="str">
        <f t="shared" si="0"/>
        <v>00100001</v>
      </c>
      <c r="D34" s="2" t="str">
        <f t="shared" si="1"/>
        <v>21</v>
      </c>
      <c r="E34" s="1" t="s">
        <v>28</v>
      </c>
      <c r="F34" s="12"/>
      <c r="G34" s="12"/>
      <c r="H34" s="11">
        <v>0</v>
      </c>
      <c r="I34" s="4" t="str">
        <f t="shared" ref="I34:I44" si="24">TEXT(DEC2BIN(H34), "00000")</f>
        <v>00000</v>
      </c>
      <c r="J34" s="1" t="s">
        <v>14</v>
      </c>
      <c r="K34" s="1" t="s">
        <v>18</v>
      </c>
    </row>
    <row r="35" spans="1:11" x14ac:dyDescent="0.25">
      <c r="B35" s="3">
        <f t="shared" ref="B35:B44" si="25">(B34)</f>
        <v>33</v>
      </c>
      <c r="C35" s="4" t="str">
        <f t="shared" ref="C35:C44" si="26">TEXT(DEC2BIN(B35), "00000000")</f>
        <v>00100001</v>
      </c>
      <c r="D35" s="2" t="str">
        <f t="shared" si="1"/>
        <v>21</v>
      </c>
      <c r="E35" s="1"/>
      <c r="F35" s="12"/>
      <c r="G35" s="12"/>
      <c r="H35" s="11">
        <f t="shared" ref="H35:H44" si="27">H34+1</f>
        <v>1</v>
      </c>
      <c r="I35" s="4" t="str">
        <f t="shared" si="24"/>
        <v>00001</v>
      </c>
      <c r="J35" s="1" t="s">
        <v>13</v>
      </c>
      <c r="K35" s="1"/>
    </row>
    <row r="36" spans="1:11" x14ac:dyDescent="0.25">
      <c r="B36" s="3">
        <f t="shared" si="25"/>
        <v>33</v>
      </c>
      <c r="C36" s="4" t="str">
        <f t="shared" si="26"/>
        <v>00100001</v>
      </c>
      <c r="D36" s="2" t="str">
        <f t="shared" si="1"/>
        <v>21</v>
      </c>
      <c r="E36" s="1"/>
      <c r="F36" s="12"/>
      <c r="G36" s="12"/>
      <c r="H36" s="11">
        <f t="shared" si="27"/>
        <v>2</v>
      </c>
      <c r="I36" s="4" t="str">
        <f t="shared" si="24"/>
        <v>00010</v>
      </c>
      <c r="J36" s="11" t="s">
        <v>15</v>
      </c>
      <c r="K36" s="11" t="s">
        <v>21</v>
      </c>
    </row>
    <row r="37" spans="1:11" x14ac:dyDescent="0.25">
      <c r="B37" s="3">
        <f t="shared" si="25"/>
        <v>33</v>
      </c>
      <c r="C37" s="4" t="str">
        <f t="shared" si="26"/>
        <v>00100001</v>
      </c>
      <c r="D37" s="2" t="str">
        <f t="shared" si="1"/>
        <v>21</v>
      </c>
      <c r="E37" s="1"/>
      <c r="F37" s="12"/>
      <c r="G37" s="12"/>
      <c r="H37" s="11">
        <f t="shared" si="27"/>
        <v>3</v>
      </c>
      <c r="I37" s="4" t="str">
        <f t="shared" si="24"/>
        <v>00011</v>
      </c>
      <c r="J37" s="1" t="s">
        <v>42</v>
      </c>
      <c r="K37" s="11" t="s">
        <v>203</v>
      </c>
    </row>
    <row r="38" spans="1:11" x14ac:dyDescent="0.25">
      <c r="B38" s="3">
        <f t="shared" si="25"/>
        <v>33</v>
      </c>
      <c r="C38" s="4" t="str">
        <f t="shared" si="26"/>
        <v>00100001</v>
      </c>
      <c r="D38" s="2" t="str">
        <f t="shared" si="1"/>
        <v>21</v>
      </c>
      <c r="E38" s="1"/>
      <c r="F38" s="12"/>
      <c r="G38" s="12"/>
      <c r="H38" s="11">
        <f t="shared" si="27"/>
        <v>4</v>
      </c>
      <c r="I38" s="4" t="str">
        <f t="shared" si="24"/>
        <v>00100</v>
      </c>
      <c r="J38" s="1" t="s">
        <v>43</v>
      </c>
      <c r="K38" s="1"/>
    </row>
    <row r="39" spans="1:11" x14ac:dyDescent="0.25">
      <c r="B39" s="3">
        <f t="shared" si="25"/>
        <v>33</v>
      </c>
      <c r="C39" s="4" t="str">
        <f t="shared" si="26"/>
        <v>00100001</v>
      </c>
      <c r="D39" s="2" t="str">
        <f t="shared" si="1"/>
        <v>21</v>
      </c>
      <c r="E39" s="1"/>
      <c r="F39" s="12"/>
      <c r="G39" s="12"/>
      <c r="H39" s="11">
        <f t="shared" si="27"/>
        <v>5</v>
      </c>
      <c r="I39" s="4" t="str">
        <f t="shared" si="24"/>
        <v>00101</v>
      </c>
      <c r="J39" s="11" t="s">
        <v>15</v>
      </c>
      <c r="K39" s="11" t="s">
        <v>21</v>
      </c>
    </row>
    <row r="40" spans="1:11" x14ac:dyDescent="0.25">
      <c r="B40" s="3">
        <f t="shared" si="25"/>
        <v>33</v>
      </c>
      <c r="C40" s="4" t="str">
        <f t="shared" si="26"/>
        <v>00100001</v>
      </c>
      <c r="D40" s="2" t="str">
        <f t="shared" si="1"/>
        <v>21</v>
      </c>
      <c r="E40" s="1"/>
      <c r="F40" s="12"/>
      <c r="G40" s="12"/>
      <c r="H40" s="11">
        <f t="shared" si="27"/>
        <v>6</v>
      </c>
      <c r="I40" s="4" t="str">
        <f t="shared" si="24"/>
        <v>00110</v>
      </c>
      <c r="J40" s="1" t="s">
        <v>44</v>
      </c>
      <c r="K40" s="11" t="s">
        <v>204</v>
      </c>
    </row>
    <row r="41" spans="1:11" x14ac:dyDescent="0.25">
      <c r="B41" s="3">
        <f t="shared" si="25"/>
        <v>33</v>
      </c>
      <c r="C41" s="4" t="str">
        <f t="shared" si="26"/>
        <v>00100001</v>
      </c>
      <c r="D41" s="2" t="str">
        <f t="shared" si="1"/>
        <v>21</v>
      </c>
      <c r="E41" s="1"/>
      <c r="F41" s="12"/>
      <c r="G41" s="12"/>
      <c r="H41" s="11">
        <f t="shared" si="27"/>
        <v>7</v>
      </c>
      <c r="I41" s="4" t="str">
        <f t="shared" si="24"/>
        <v>00111</v>
      </c>
      <c r="J41" s="1" t="s">
        <v>53</v>
      </c>
      <c r="K41" s="11"/>
    </row>
    <row r="42" spans="1:11" x14ac:dyDescent="0.25">
      <c r="B42" s="3">
        <f t="shared" si="25"/>
        <v>33</v>
      </c>
      <c r="C42" s="4" t="str">
        <f t="shared" si="26"/>
        <v>00100001</v>
      </c>
      <c r="D42" s="2" t="str">
        <f t="shared" si="1"/>
        <v>21</v>
      </c>
      <c r="H42" s="11">
        <f t="shared" si="27"/>
        <v>8</v>
      </c>
      <c r="I42" s="4" t="str">
        <f t="shared" si="24"/>
        <v>01000</v>
      </c>
      <c r="J42" s="11" t="s">
        <v>16</v>
      </c>
      <c r="K42" s="11" t="s">
        <v>19</v>
      </c>
    </row>
    <row r="43" spans="1:11" x14ac:dyDescent="0.25">
      <c r="B43" s="3">
        <f t="shared" si="25"/>
        <v>33</v>
      </c>
      <c r="C43" s="4" t="str">
        <f t="shared" si="26"/>
        <v>00100001</v>
      </c>
      <c r="D43" s="2" t="str">
        <f t="shared" si="1"/>
        <v>21</v>
      </c>
      <c r="H43" s="11">
        <f t="shared" si="27"/>
        <v>9</v>
      </c>
      <c r="I43" s="4" t="str">
        <f t="shared" si="24"/>
        <v>01001</v>
      </c>
      <c r="J43" s="11" t="s">
        <v>17</v>
      </c>
      <c r="K43" s="1"/>
    </row>
    <row r="44" spans="1:11" x14ac:dyDescent="0.25">
      <c r="B44" s="3">
        <f t="shared" si="25"/>
        <v>33</v>
      </c>
      <c r="C44" s="4" t="str">
        <f t="shared" si="26"/>
        <v>00100001</v>
      </c>
      <c r="D44" s="2" t="str">
        <f t="shared" si="1"/>
        <v>21</v>
      </c>
      <c r="H44" s="11">
        <f t="shared" si="27"/>
        <v>10</v>
      </c>
      <c r="I44" s="4" t="str">
        <f t="shared" si="24"/>
        <v>01010</v>
      </c>
      <c r="J44" s="1" t="s">
        <v>236</v>
      </c>
      <c r="K44" s="1" t="s">
        <v>238</v>
      </c>
    </row>
    <row r="45" spans="1:11" x14ac:dyDescent="0.25">
      <c r="B45" s="3"/>
      <c r="C45" s="4"/>
      <c r="H45" s="11"/>
      <c r="I45" s="4"/>
      <c r="J45" s="1"/>
      <c r="K45" s="1"/>
    </row>
    <row r="46" spans="1:11" x14ac:dyDescent="0.25">
      <c r="A46" t="s">
        <v>29</v>
      </c>
      <c r="B46" s="3">
        <v>34</v>
      </c>
      <c r="C46" s="4" t="str">
        <f t="shared" ref="C46:C55" si="28">TEXT(DEC2BIN(B46), "00000000")</f>
        <v>00100010</v>
      </c>
      <c r="D46" s="2" t="str">
        <f t="shared" si="1"/>
        <v>22</v>
      </c>
      <c r="E46" s="1" t="s">
        <v>30</v>
      </c>
      <c r="F46" s="12"/>
      <c r="G46" s="12"/>
      <c r="H46" s="11">
        <v>0</v>
      </c>
      <c r="I46" s="4" t="str">
        <f t="shared" ref="I46:I55" si="29">TEXT(DEC2BIN(H46), "00000")</f>
        <v>00000</v>
      </c>
      <c r="J46" s="1" t="s">
        <v>14</v>
      </c>
      <c r="K46" s="1" t="s">
        <v>18</v>
      </c>
    </row>
    <row r="47" spans="1:11" x14ac:dyDescent="0.25">
      <c r="B47" s="3">
        <f t="shared" ref="B47:B55" si="30">(B46)</f>
        <v>34</v>
      </c>
      <c r="C47" s="4" t="str">
        <f t="shared" si="28"/>
        <v>00100010</v>
      </c>
      <c r="D47" s="2" t="str">
        <f t="shared" si="1"/>
        <v>22</v>
      </c>
      <c r="E47" s="1"/>
      <c r="F47" s="12"/>
      <c r="G47" s="12"/>
      <c r="H47" s="11">
        <f t="shared" ref="H47:H55" si="31">H46+1</f>
        <v>1</v>
      </c>
      <c r="I47" s="4" t="str">
        <f t="shared" si="29"/>
        <v>00001</v>
      </c>
      <c r="J47" s="1" t="s">
        <v>13</v>
      </c>
      <c r="K47" s="1"/>
    </row>
    <row r="48" spans="1:11" x14ac:dyDescent="0.25">
      <c r="B48" s="3">
        <f t="shared" si="30"/>
        <v>34</v>
      </c>
      <c r="C48" s="4" t="str">
        <f t="shared" si="28"/>
        <v>00100010</v>
      </c>
      <c r="D48" s="2" t="str">
        <f t="shared" si="1"/>
        <v>22</v>
      </c>
      <c r="E48" s="1"/>
      <c r="F48" s="12"/>
      <c r="G48" s="12"/>
      <c r="H48" s="11">
        <f t="shared" si="31"/>
        <v>2</v>
      </c>
      <c r="I48" s="4" t="str">
        <f t="shared" si="29"/>
        <v>00010</v>
      </c>
      <c r="J48" s="11" t="s">
        <v>15</v>
      </c>
      <c r="K48" s="11" t="s">
        <v>21</v>
      </c>
    </row>
    <row r="49" spans="1:11" x14ac:dyDescent="0.25">
      <c r="B49" s="3">
        <f t="shared" si="30"/>
        <v>34</v>
      </c>
      <c r="C49" s="4" t="str">
        <f t="shared" si="28"/>
        <v>00100010</v>
      </c>
      <c r="D49" s="2" t="str">
        <f t="shared" si="1"/>
        <v>22</v>
      </c>
      <c r="E49" s="1"/>
      <c r="F49" s="12"/>
      <c r="G49" s="12"/>
      <c r="H49" s="11">
        <f t="shared" si="31"/>
        <v>3</v>
      </c>
      <c r="I49" s="4" t="str">
        <f t="shared" si="29"/>
        <v>00011</v>
      </c>
      <c r="J49" s="1" t="s">
        <v>42</v>
      </c>
      <c r="K49" s="11" t="s">
        <v>203</v>
      </c>
    </row>
    <row r="50" spans="1:11" x14ac:dyDescent="0.25">
      <c r="B50" s="3">
        <f t="shared" si="30"/>
        <v>34</v>
      </c>
      <c r="C50" s="4" t="str">
        <f t="shared" si="28"/>
        <v>00100010</v>
      </c>
      <c r="D50" s="2" t="str">
        <f t="shared" si="1"/>
        <v>22</v>
      </c>
      <c r="E50" s="1"/>
      <c r="F50" s="12"/>
      <c r="G50" s="12"/>
      <c r="H50" s="11">
        <f t="shared" si="31"/>
        <v>4</v>
      </c>
      <c r="I50" s="4" t="str">
        <f t="shared" si="29"/>
        <v>00100</v>
      </c>
      <c r="J50" s="1" t="s">
        <v>43</v>
      </c>
      <c r="K50" s="1"/>
    </row>
    <row r="51" spans="1:11" x14ac:dyDescent="0.25">
      <c r="B51" s="3">
        <f t="shared" si="30"/>
        <v>34</v>
      </c>
      <c r="C51" s="4" t="str">
        <f t="shared" si="28"/>
        <v>00100010</v>
      </c>
      <c r="D51" s="2" t="str">
        <f t="shared" si="1"/>
        <v>22</v>
      </c>
      <c r="E51" s="1"/>
      <c r="F51" s="12"/>
      <c r="G51" s="12"/>
      <c r="H51" s="11">
        <f t="shared" si="31"/>
        <v>5</v>
      </c>
      <c r="I51" s="4" t="str">
        <f t="shared" si="29"/>
        <v>00101</v>
      </c>
      <c r="J51" s="11" t="s">
        <v>15</v>
      </c>
      <c r="K51" s="11" t="s">
        <v>21</v>
      </c>
    </row>
    <row r="52" spans="1:11" x14ac:dyDescent="0.25">
      <c r="B52" s="3">
        <f t="shared" si="30"/>
        <v>34</v>
      </c>
      <c r="C52" s="4" t="str">
        <f t="shared" si="28"/>
        <v>00100010</v>
      </c>
      <c r="D52" s="2" t="str">
        <f t="shared" si="1"/>
        <v>22</v>
      </c>
      <c r="E52" s="1"/>
      <c r="F52" s="12"/>
      <c r="G52" s="12"/>
      <c r="H52" s="11">
        <f t="shared" si="31"/>
        <v>6</v>
      </c>
      <c r="I52" s="4" t="str">
        <f t="shared" si="29"/>
        <v>00110</v>
      </c>
      <c r="J52" s="1" t="s">
        <v>44</v>
      </c>
      <c r="K52" s="11" t="s">
        <v>204</v>
      </c>
    </row>
    <row r="53" spans="1:11" x14ac:dyDescent="0.25">
      <c r="B53" s="3">
        <f t="shared" si="30"/>
        <v>34</v>
      </c>
      <c r="C53" s="4" t="str">
        <f t="shared" si="28"/>
        <v>00100010</v>
      </c>
      <c r="D53" s="2" t="str">
        <f t="shared" si="1"/>
        <v>22</v>
      </c>
      <c r="E53" s="1"/>
      <c r="F53" s="12"/>
      <c r="G53" s="12"/>
      <c r="H53" s="11">
        <f t="shared" si="31"/>
        <v>7</v>
      </c>
      <c r="I53" s="4" t="str">
        <f t="shared" si="29"/>
        <v>00111</v>
      </c>
      <c r="J53" s="1" t="s">
        <v>53</v>
      </c>
      <c r="K53" s="11"/>
    </row>
    <row r="54" spans="1:11" x14ac:dyDescent="0.25">
      <c r="B54" s="3">
        <f t="shared" si="30"/>
        <v>34</v>
      </c>
      <c r="C54" s="4" t="str">
        <f t="shared" si="28"/>
        <v>00100010</v>
      </c>
      <c r="D54" s="2" t="str">
        <f t="shared" si="1"/>
        <v>22</v>
      </c>
      <c r="H54" s="11">
        <f t="shared" si="31"/>
        <v>8</v>
      </c>
      <c r="I54" s="4" t="str">
        <f t="shared" si="29"/>
        <v>01000</v>
      </c>
      <c r="J54" s="11" t="s">
        <v>31</v>
      </c>
      <c r="K54" s="11" t="s">
        <v>48</v>
      </c>
    </row>
    <row r="55" spans="1:11" x14ac:dyDescent="0.25">
      <c r="B55" s="3">
        <f t="shared" si="30"/>
        <v>34</v>
      </c>
      <c r="C55" s="4" t="str">
        <f t="shared" si="28"/>
        <v>00100010</v>
      </c>
      <c r="D55" s="2" t="str">
        <f t="shared" si="1"/>
        <v>22</v>
      </c>
      <c r="H55" s="11">
        <f t="shared" si="31"/>
        <v>9</v>
      </c>
      <c r="I55" s="4" t="str">
        <f t="shared" si="29"/>
        <v>01001</v>
      </c>
      <c r="J55" s="1" t="s">
        <v>236</v>
      </c>
      <c r="K55" s="1" t="s">
        <v>238</v>
      </c>
    </row>
    <row r="56" spans="1:11" x14ac:dyDescent="0.25">
      <c r="B56" s="3"/>
      <c r="C56" s="4"/>
      <c r="H56" s="11"/>
      <c r="I56" s="4"/>
      <c r="J56" s="1"/>
      <c r="K56" s="1"/>
    </row>
    <row r="57" spans="1:11" s="50" customFormat="1" x14ac:dyDescent="0.25">
      <c r="A57" s="44" t="s">
        <v>66</v>
      </c>
      <c r="B57" s="45">
        <v>35</v>
      </c>
      <c r="C57" s="4" t="str">
        <f t="shared" ref="C57:C61" si="32">TEXT(DEC2BIN(B57), "00000000")</f>
        <v>00100011</v>
      </c>
      <c r="D57" s="2" t="str">
        <f>DEC2HEX(B57)</f>
        <v>23</v>
      </c>
      <c r="E57" s="54" t="s">
        <v>143</v>
      </c>
      <c r="F57" s="49"/>
      <c r="G57" s="49"/>
      <c r="H57" s="11">
        <v>0</v>
      </c>
      <c r="I57" s="4" t="str">
        <f>TEXT(DEC2BIN(H57), "00000")</f>
        <v>00000</v>
      </c>
      <c r="J57" s="1" t="s">
        <v>14</v>
      </c>
      <c r="K57" s="48"/>
    </row>
    <row r="58" spans="1:11" s="50" customFormat="1" x14ac:dyDescent="0.25">
      <c r="A58" s="44"/>
      <c r="B58" s="3">
        <f t="shared" ref="B58:B60" si="33">(B57)</f>
        <v>35</v>
      </c>
      <c r="C58" s="4" t="str">
        <f t="shared" si="32"/>
        <v>00100011</v>
      </c>
      <c r="D58" s="2" t="str">
        <f t="shared" ref="D58:D61" si="34">DEC2HEX(B58)</f>
        <v>23</v>
      </c>
      <c r="E58" s="48"/>
      <c r="F58" s="49"/>
      <c r="G58" s="49"/>
      <c r="H58" s="11">
        <f t="shared" ref="H58:H61" si="35">H57+1</f>
        <v>1</v>
      </c>
      <c r="I58" s="4" t="str">
        <f>TEXT(DEC2BIN(H58), "00000")</f>
        <v>00001</v>
      </c>
      <c r="J58" s="1" t="s">
        <v>13</v>
      </c>
      <c r="K58" s="48"/>
    </row>
    <row r="59" spans="1:11" s="64" customFormat="1" ht="15" customHeight="1" x14ac:dyDescent="0.25">
      <c r="A59" s="60"/>
      <c r="B59" s="3">
        <f t="shared" si="33"/>
        <v>35</v>
      </c>
      <c r="C59" s="4" t="str">
        <f t="shared" si="32"/>
        <v>00100011</v>
      </c>
      <c r="D59" s="2" t="str">
        <f t="shared" si="34"/>
        <v>23</v>
      </c>
      <c r="E59" s="65"/>
      <c r="F59" s="66"/>
      <c r="G59" s="66"/>
      <c r="H59" s="11">
        <f t="shared" si="35"/>
        <v>2</v>
      </c>
      <c r="I59" s="4" t="str">
        <f>TEXT(DEC2BIN(H59), "00000")</f>
        <v>00010</v>
      </c>
      <c r="J59" s="1" t="s">
        <v>150</v>
      </c>
      <c r="K59" s="65"/>
    </row>
    <row r="60" spans="1:11" s="64" customFormat="1" ht="15" customHeight="1" x14ac:dyDescent="0.25">
      <c r="A60" s="60"/>
      <c r="B60" s="3">
        <f t="shared" si="33"/>
        <v>35</v>
      </c>
      <c r="C60" s="4" t="str">
        <f t="shared" si="32"/>
        <v>00100011</v>
      </c>
      <c r="D60" s="2" t="str">
        <f t="shared" si="34"/>
        <v>23</v>
      </c>
      <c r="E60" s="65"/>
      <c r="F60" s="66"/>
      <c r="G60" s="66"/>
      <c r="H60" s="11">
        <f t="shared" si="35"/>
        <v>3</v>
      </c>
      <c r="I60" s="4" t="str">
        <f>TEXT(DEC2BIN(H60), "00000")</f>
        <v>00011</v>
      </c>
      <c r="J60" s="1" t="s">
        <v>151</v>
      </c>
      <c r="K60" s="65"/>
    </row>
    <row r="61" spans="1:11" x14ac:dyDescent="0.25">
      <c r="B61" s="3">
        <f>(B58)</f>
        <v>35</v>
      </c>
      <c r="C61" s="4" t="str">
        <f t="shared" si="32"/>
        <v>00100011</v>
      </c>
      <c r="D61" s="2" t="str">
        <f t="shared" si="34"/>
        <v>23</v>
      </c>
      <c r="H61" s="11">
        <f t="shared" si="35"/>
        <v>4</v>
      </c>
      <c r="I61" s="4" t="str">
        <f>TEXT(DEC2BIN(H61), "00000")</f>
        <v>00100</v>
      </c>
      <c r="J61" s="1" t="s">
        <v>236</v>
      </c>
      <c r="K61" s="1" t="s">
        <v>238</v>
      </c>
    </row>
    <row r="62" spans="1:11" s="50" customFormat="1" x14ac:dyDescent="0.25">
      <c r="A62" s="44"/>
      <c r="B62" s="45"/>
      <c r="C62" s="46"/>
      <c r="D62" s="47"/>
      <c r="E62" s="48"/>
      <c r="F62" s="49"/>
      <c r="G62" s="49"/>
      <c r="H62" s="11"/>
      <c r="I62" s="4"/>
      <c r="J62" s="1"/>
      <c r="K62" s="48"/>
    </row>
    <row r="63" spans="1:11" s="50" customFormat="1" x14ac:dyDescent="0.25">
      <c r="A63" s="44" t="s">
        <v>67</v>
      </c>
      <c r="B63" s="51">
        <v>36</v>
      </c>
      <c r="C63" s="4" t="str">
        <f t="shared" ref="C63:C67" si="36">TEXT(DEC2BIN(B63), "00000000")</f>
        <v>00100100</v>
      </c>
      <c r="D63" s="2" t="str">
        <f>DEC2HEX(B63)</f>
        <v>24</v>
      </c>
      <c r="E63" s="54" t="s">
        <v>144</v>
      </c>
      <c r="F63" s="55"/>
      <c r="G63" s="55"/>
      <c r="H63" s="11">
        <v>0</v>
      </c>
      <c r="I63" s="4" t="str">
        <f>TEXT(DEC2BIN(H63), "00000")</f>
        <v>00000</v>
      </c>
      <c r="J63" s="1" t="s">
        <v>14</v>
      </c>
      <c r="K63" s="54"/>
    </row>
    <row r="64" spans="1:11" s="50" customFormat="1" x14ac:dyDescent="0.25">
      <c r="A64" s="44"/>
      <c r="B64" s="3">
        <f t="shared" ref="B64:B66" si="37">(B63)</f>
        <v>36</v>
      </c>
      <c r="C64" s="4" t="str">
        <f t="shared" si="36"/>
        <v>00100100</v>
      </c>
      <c r="D64" s="2" t="str">
        <f t="shared" ref="D64:D67" si="38">DEC2HEX(B64)</f>
        <v>24</v>
      </c>
      <c r="E64" s="54"/>
      <c r="F64" s="55"/>
      <c r="G64" s="55"/>
      <c r="H64" s="11">
        <f t="shared" ref="H64:H67" si="39">H63+1</f>
        <v>1</v>
      </c>
      <c r="I64" s="4" t="str">
        <f>TEXT(DEC2BIN(H64), "00000")</f>
        <v>00001</v>
      </c>
      <c r="J64" s="1" t="s">
        <v>13</v>
      </c>
      <c r="K64" s="54"/>
    </row>
    <row r="65" spans="1:11" s="64" customFormat="1" ht="15" customHeight="1" x14ac:dyDescent="0.25">
      <c r="A65" s="60"/>
      <c r="B65" s="3">
        <f t="shared" si="37"/>
        <v>36</v>
      </c>
      <c r="C65" s="4" t="str">
        <f t="shared" si="36"/>
        <v>00100100</v>
      </c>
      <c r="D65" s="2" t="str">
        <f t="shared" si="38"/>
        <v>24</v>
      </c>
      <c r="E65" s="65"/>
      <c r="F65" s="66"/>
      <c r="G65" s="66"/>
      <c r="H65" s="11">
        <f t="shared" si="39"/>
        <v>2</v>
      </c>
      <c r="I65" s="4" t="str">
        <f>TEXT(DEC2BIN(H65), "00000")</f>
        <v>00010</v>
      </c>
      <c r="J65" s="1" t="s">
        <v>148</v>
      </c>
      <c r="K65" s="65"/>
    </row>
    <row r="66" spans="1:11" s="64" customFormat="1" ht="15" customHeight="1" x14ac:dyDescent="0.25">
      <c r="A66" s="60"/>
      <c r="B66" s="3">
        <f t="shared" si="37"/>
        <v>36</v>
      </c>
      <c r="C66" s="4" t="str">
        <f t="shared" si="36"/>
        <v>00100100</v>
      </c>
      <c r="D66" s="2" t="str">
        <f t="shared" si="38"/>
        <v>24</v>
      </c>
      <c r="E66" s="65"/>
      <c r="F66" s="66"/>
      <c r="G66" s="66"/>
      <c r="H66" s="11">
        <f t="shared" si="39"/>
        <v>3</v>
      </c>
      <c r="I66" s="4" t="str">
        <f>TEXT(DEC2BIN(H66), "00000")</f>
        <v>00011</v>
      </c>
      <c r="J66" s="1" t="s">
        <v>149</v>
      </c>
      <c r="K66" s="65"/>
    </row>
    <row r="67" spans="1:11" x14ac:dyDescent="0.25">
      <c r="B67" s="3">
        <f>(B64)</f>
        <v>36</v>
      </c>
      <c r="C67" s="4" t="str">
        <f t="shared" si="36"/>
        <v>00100100</v>
      </c>
      <c r="D67" s="2" t="str">
        <f t="shared" si="38"/>
        <v>24</v>
      </c>
      <c r="H67" s="11">
        <f t="shared" si="39"/>
        <v>4</v>
      </c>
      <c r="I67" s="4" t="str">
        <f>TEXT(DEC2BIN(H67), "00000")</f>
        <v>00100</v>
      </c>
      <c r="J67" s="1" t="s">
        <v>236</v>
      </c>
      <c r="K67" s="1" t="s">
        <v>238</v>
      </c>
    </row>
    <row r="68" spans="1:11" s="50" customFormat="1" x14ac:dyDescent="0.25">
      <c r="A68" s="44"/>
      <c r="B68" s="51"/>
      <c r="C68" s="52"/>
      <c r="D68" s="53"/>
      <c r="E68" s="54"/>
      <c r="F68" s="55"/>
      <c r="G68" s="55"/>
      <c r="H68" s="11"/>
      <c r="I68" s="4"/>
      <c r="J68" s="1"/>
      <c r="K68" s="54"/>
    </row>
    <row r="69" spans="1:11" s="50" customFormat="1" x14ac:dyDescent="0.25">
      <c r="A69" s="44" t="s">
        <v>68</v>
      </c>
      <c r="B69" s="45">
        <v>37</v>
      </c>
      <c r="C69" s="4" t="str">
        <f t="shared" ref="C69:C73" si="40">TEXT(DEC2BIN(B69), "00000000")</f>
        <v>00100101</v>
      </c>
      <c r="D69" s="2" t="str">
        <f>DEC2HEX(B69)</f>
        <v>25</v>
      </c>
      <c r="E69" s="54" t="s">
        <v>145</v>
      </c>
      <c r="F69" s="49"/>
      <c r="G69" s="49"/>
      <c r="H69" s="11">
        <v>0</v>
      </c>
      <c r="I69" s="4" t="str">
        <f>TEXT(DEC2BIN(H69), "00000")</f>
        <v>00000</v>
      </c>
      <c r="J69" s="1" t="s">
        <v>14</v>
      </c>
      <c r="K69" s="48"/>
    </row>
    <row r="70" spans="1:11" s="50" customFormat="1" x14ac:dyDescent="0.25">
      <c r="A70" s="44"/>
      <c r="B70" s="3">
        <f t="shared" ref="B70:B72" si="41">(B69)</f>
        <v>37</v>
      </c>
      <c r="C70" s="4" t="str">
        <f t="shared" si="40"/>
        <v>00100101</v>
      </c>
      <c r="D70" s="2" t="str">
        <f t="shared" ref="D70:D73" si="42">DEC2HEX(B70)</f>
        <v>25</v>
      </c>
      <c r="E70" s="48"/>
      <c r="F70" s="49"/>
      <c r="G70" s="49"/>
      <c r="H70" s="11">
        <f t="shared" ref="H70:H73" si="43">H69+1</f>
        <v>1</v>
      </c>
      <c r="I70" s="4" t="str">
        <f>TEXT(DEC2BIN(H70), "00000")</f>
        <v>00001</v>
      </c>
      <c r="J70" s="1" t="s">
        <v>13</v>
      </c>
      <c r="K70" s="48"/>
    </row>
    <row r="71" spans="1:11" s="64" customFormat="1" ht="15" customHeight="1" x14ac:dyDescent="0.25">
      <c r="A71" s="60"/>
      <c r="B71" s="3">
        <f t="shared" si="41"/>
        <v>37</v>
      </c>
      <c r="C71" s="4" t="str">
        <f t="shared" si="40"/>
        <v>00100101</v>
      </c>
      <c r="D71" s="2" t="str">
        <f t="shared" si="42"/>
        <v>25</v>
      </c>
      <c r="E71" s="65"/>
      <c r="F71" s="66"/>
      <c r="G71" s="66"/>
      <c r="H71" s="11">
        <f t="shared" si="43"/>
        <v>2</v>
      </c>
      <c r="I71" s="4" t="str">
        <f>TEXT(DEC2BIN(H71), "00000")</f>
        <v>00010</v>
      </c>
      <c r="J71" s="1" t="s">
        <v>152</v>
      </c>
      <c r="K71" s="65"/>
    </row>
    <row r="72" spans="1:11" s="64" customFormat="1" ht="15" customHeight="1" x14ac:dyDescent="0.25">
      <c r="A72" s="60"/>
      <c r="B72" s="3">
        <f t="shared" si="41"/>
        <v>37</v>
      </c>
      <c r="C72" s="4" t="str">
        <f t="shared" si="40"/>
        <v>00100101</v>
      </c>
      <c r="D72" s="2" t="str">
        <f t="shared" si="42"/>
        <v>25</v>
      </c>
      <c r="E72" s="65"/>
      <c r="F72" s="66"/>
      <c r="G72" s="66"/>
      <c r="H72" s="11">
        <f t="shared" si="43"/>
        <v>3</v>
      </c>
      <c r="I72" s="4" t="str">
        <f>TEXT(DEC2BIN(H72), "00000")</f>
        <v>00011</v>
      </c>
      <c r="J72" s="1" t="s">
        <v>153</v>
      </c>
      <c r="K72" s="65"/>
    </row>
    <row r="73" spans="1:11" x14ac:dyDescent="0.25">
      <c r="B73" s="3">
        <f>(B70)</f>
        <v>37</v>
      </c>
      <c r="C73" s="4" t="str">
        <f t="shared" si="40"/>
        <v>00100101</v>
      </c>
      <c r="D73" s="2" t="str">
        <f t="shared" si="42"/>
        <v>25</v>
      </c>
      <c r="H73" s="11">
        <f t="shared" si="43"/>
        <v>4</v>
      </c>
      <c r="I73" s="4" t="str">
        <f>TEXT(DEC2BIN(H73), "00000")</f>
        <v>00100</v>
      </c>
      <c r="J73" s="1" t="s">
        <v>236</v>
      </c>
      <c r="K73" s="1" t="s">
        <v>238</v>
      </c>
    </row>
    <row r="74" spans="1:11" s="50" customFormat="1" x14ac:dyDescent="0.25">
      <c r="A74" s="44"/>
      <c r="B74" s="45"/>
      <c r="C74" s="46"/>
      <c r="D74" s="47"/>
      <c r="E74" s="48"/>
      <c r="F74" s="49"/>
      <c r="G74" s="49"/>
      <c r="H74" s="11"/>
      <c r="I74" s="4"/>
      <c r="J74" s="1"/>
      <c r="K74" s="48"/>
    </row>
    <row r="75" spans="1:11" s="50" customFormat="1" ht="15" customHeight="1" x14ac:dyDescent="0.25">
      <c r="A75" s="44" t="s">
        <v>69</v>
      </c>
      <c r="B75" s="51">
        <v>38</v>
      </c>
      <c r="C75" s="4" t="str">
        <f t="shared" ref="C75:C79" si="44">TEXT(DEC2BIN(B75), "00000000")</f>
        <v>00100110</v>
      </c>
      <c r="D75" s="2" t="str">
        <f>DEC2HEX(B75)</f>
        <v>26</v>
      </c>
      <c r="E75" s="54" t="s">
        <v>146</v>
      </c>
      <c r="F75" s="55"/>
      <c r="G75" s="55"/>
      <c r="H75" s="11">
        <v>0</v>
      </c>
      <c r="I75" s="4" t="str">
        <f>TEXT(DEC2BIN(H75), "00000")</f>
        <v>00000</v>
      </c>
      <c r="J75" s="1" t="s">
        <v>14</v>
      </c>
      <c r="K75" s="54"/>
    </row>
    <row r="76" spans="1:11" s="50" customFormat="1" ht="15" customHeight="1" x14ac:dyDescent="0.25">
      <c r="A76" s="44"/>
      <c r="B76" s="3">
        <f t="shared" ref="B76:B78" si="45">(B75)</f>
        <v>38</v>
      </c>
      <c r="C76" s="4" t="str">
        <f t="shared" si="44"/>
        <v>00100110</v>
      </c>
      <c r="D76" s="2" t="str">
        <f t="shared" ref="D76:D79" si="46">DEC2HEX(B76)</f>
        <v>26</v>
      </c>
      <c r="E76" s="54"/>
      <c r="F76" s="55"/>
      <c r="G76" s="55"/>
      <c r="H76" s="11">
        <f t="shared" ref="H76:H79" si="47">H75+1</f>
        <v>1</v>
      </c>
      <c r="I76" s="4" t="str">
        <f>TEXT(DEC2BIN(H76), "00000")</f>
        <v>00001</v>
      </c>
      <c r="J76" s="1" t="s">
        <v>13</v>
      </c>
      <c r="K76" s="54"/>
    </row>
    <row r="77" spans="1:11" s="64" customFormat="1" ht="15" customHeight="1" x14ac:dyDescent="0.25">
      <c r="A77" s="60"/>
      <c r="B77" s="3">
        <f t="shared" si="45"/>
        <v>38</v>
      </c>
      <c r="C77" s="4" t="str">
        <f t="shared" si="44"/>
        <v>00100110</v>
      </c>
      <c r="D77" s="2" t="str">
        <f t="shared" si="46"/>
        <v>26</v>
      </c>
      <c r="E77" s="65"/>
      <c r="F77" s="66"/>
      <c r="G77" s="66"/>
      <c r="H77" s="11">
        <f t="shared" si="47"/>
        <v>2</v>
      </c>
      <c r="I77" s="4" t="str">
        <f>TEXT(DEC2BIN(H77), "00000")</f>
        <v>00010</v>
      </c>
      <c r="J77" s="1" t="s">
        <v>154</v>
      </c>
      <c r="K77" s="65"/>
    </row>
    <row r="78" spans="1:11" s="64" customFormat="1" ht="15" customHeight="1" x14ac:dyDescent="0.25">
      <c r="A78" s="60"/>
      <c r="B78" s="3">
        <f t="shared" si="45"/>
        <v>38</v>
      </c>
      <c r="C78" s="4" t="str">
        <f t="shared" si="44"/>
        <v>00100110</v>
      </c>
      <c r="D78" s="2" t="str">
        <f t="shared" si="46"/>
        <v>26</v>
      </c>
      <c r="E78" s="65"/>
      <c r="F78" s="66"/>
      <c r="G78" s="66"/>
      <c r="H78" s="11">
        <f t="shared" si="47"/>
        <v>3</v>
      </c>
      <c r="I78" s="4" t="str">
        <f>TEXT(DEC2BIN(H78), "00000")</f>
        <v>00011</v>
      </c>
      <c r="J78" s="1" t="s">
        <v>155</v>
      </c>
      <c r="K78" s="65"/>
    </row>
    <row r="79" spans="1:11" x14ac:dyDescent="0.25">
      <c r="B79" s="3">
        <f>(B76)</f>
        <v>38</v>
      </c>
      <c r="C79" s="4" t="str">
        <f t="shared" si="44"/>
        <v>00100110</v>
      </c>
      <c r="D79" s="2" t="str">
        <f t="shared" si="46"/>
        <v>26</v>
      </c>
      <c r="H79" s="11">
        <f t="shared" si="47"/>
        <v>4</v>
      </c>
      <c r="I79" s="4" t="str">
        <f>TEXT(DEC2BIN(H79), "00000")</f>
        <v>00100</v>
      </c>
      <c r="J79" s="1" t="s">
        <v>236</v>
      </c>
      <c r="K79" s="1" t="s">
        <v>238</v>
      </c>
    </row>
    <row r="80" spans="1:11" s="50" customFormat="1" ht="15" customHeight="1" x14ac:dyDescent="0.25">
      <c r="A80" s="44"/>
      <c r="B80" s="51"/>
      <c r="C80" s="52"/>
      <c r="D80" s="53"/>
      <c r="E80" s="54"/>
      <c r="F80" s="55"/>
      <c r="G80" s="55"/>
      <c r="H80" s="11"/>
      <c r="I80" s="4"/>
      <c r="J80" s="1"/>
      <c r="K80" s="54"/>
    </row>
    <row r="81" spans="1:11" s="50" customFormat="1" ht="15" customHeight="1" x14ac:dyDescent="0.25">
      <c r="A81" s="44" t="s">
        <v>70</v>
      </c>
      <c r="B81" s="45">
        <v>39</v>
      </c>
      <c r="C81" s="4" t="str">
        <f t="shared" ref="C81:C85" si="48">TEXT(DEC2BIN(B81), "00000000")</f>
        <v>00100111</v>
      </c>
      <c r="D81" s="2" t="str">
        <f>DEC2HEX(B81)</f>
        <v>27</v>
      </c>
      <c r="E81" s="54" t="s">
        <v>147</v>
      </c>
      <c r="F81" s="49"/>
      <c r="G81" s="49"/>
      <c r="H81" s="11">
        <v>0</v>
      </c>
      <c r="I81" s="4" t="str">
        <f>TEXT(DEC2BIN(H81), "00000")</f>
        <v>00000</v>
      </c>
      <c r="J81" s="1" t="s">
        <v>14</v>
      </c>
      <c r="K81" s="48"/>
    </row>
    <row r="82" spans="1:11" s="50" customFormat="1" ht="15" customHeight="1" x14ac:dyDescent="0.25">
      <c r="A82" s="44"/>
      <c r="B82" s="3">
        <f t="shared" ref="B82:B84" si="49">(B81)</f>
        <v>39</v>
      </c>
      <c r="C82" s="4" t="str">
        <f t="shared" si="48"/>
        <v>00100111</v>
      </c>
      <c r="D82" s="2" t="str">
        <f t="shared" ref="D82:D85" si="50">DEC2HEX(B82)</f>
        <v>27</v>
      </c>
      <c r="E82" s="48"/>
      <c r="F82" s="49"/>
      <c r="G82" s="49"/>
      <c r="H82" s="11">
        <f t="shared" ref="H82:H85" si="51">H81+1</f>
        <v>1</v>
      </c>
      <c r="I82" s="4" t="str">
        <f>TEXT(DEC2BIN(H82), "00000")</f>
        <v>00001</v>
      </c>
      <c r="J82" s="1" t="s">
        <v>13</v>
      </c>
      <c r="K82" s="48"/>
    </row>
    <row r="83" spans="1:11" s="64" customFormat="1" ht="15" customHeight="1" x14ac:dyDescent="0.25">
      <c r="A83" s="60"/>
      <c r="B83" s="3">
        <f t="shared" si="49"/>
        <v>39</v>
      </c>
      <c r="C83" s="4" t="str">
        <f t="shared" si="48"/>
        <v>00100111</v>
      </c>
      <c r="D83" s="2" t="str">
        <f t="shared" si="50"/>
        <v>27</v>
      </c>
      <c r="E83" s="65"/>
      <c r="F83" s="66"/>
      <c r="G83" s="66"/>
      <c r="H83" s="11">
        <f t="shared" si="51"/>
        <v>2</v>
      </c>
      <c r="I83" s="4" t="str">
        <f>TEXT(DEC2BIN(H83), "00000")</f>
        <v>00010</v>
      </c>
      <c r="J83" s="1" t="s">
        <v>158</v>
      </c>
      <c r="K83" s="65"/>
    </row>
    <row r="84" spans="1:11" s="64" customFormat="1" ht="15" customHeight="1" x14ac:dyDescent="0.25">
      <c r="A84" s="60"/>
      <c r="B84" s="3">
        <f t="shared" si="49"/>
        <v>39</v>
      </c>
      <c r="C84" s="4" t="str">
        <f t="shared" si="48"/>
        <v>00100111</v>
      </c>
      <c r="D84" s="2" t="str">
        <f t="shared" si="50"/>
        <v>27</v>
      </c>
      <c r="E84" s="65"/>
      <c r="F84" s="66"/>
      <c r="G84" s="66"/>
      <c r="H84" s="11">
        <f t="shared" si="51"/>
        <v>3</v>
      </c>
      <c r="I84" s="4" t="str">
        <f>TEXT(DEC2BIN(H84), "00000")</f>
        <v>00011</v>
      </c>
      <c r="J84" s="1" t="s">
        <v>157</v>
      </c>
      <c r="K84" s="65"/>
    </row>
    <row r="85" spans="1:11" x14ac:dyDescent="0.25">
      <c r="B85" s="3">
        <f>(B82)</f>
        <v>39</v>
      </c>
      <c r="C85" s="4" t="str">
        <f t="shared" si="48"/>
        <v>00100111</v>
      </c>
      <c r="D85" s="2" t="str">
        <f t="shared" si="50"/>
        <v>27</v>
      </c>
      <c r="H85" s="11">
        <f t="shared" si="51"/>
        <v>4</v>
      </c>
      <c r="I85" s="4" t="str">
        <f>TEXT(DEC2BIN(H85), "00000")</f>
        <v>00100</v>
      </c>
      <c r="J85" s="1" t="s">
        <v>236</v>
      </c>
      <c r="K85" s="1" t="s">
        <v>238</v>
      </c>
    </row>
    <row r="86" spans="1:11" x14ac:dyDescent="0.25">
      <c r="B86" s="3"/>
      <c r="C86" s="4"/>
      <c r="H86" s="11"/>
      <c r="I86" s="4"/>
      <c r="J86" s="1"/>
      <c r="K86" s="1"/>
    </row>
    <row r="87" spans="1:11" s="77" customFormat="1" x14ac:dyDescent="0.25">
      <c r="A87" s="77" t="s">
        <v>111</v>
      </c>
      <c r="B87" s="78">
        <v>48</v>
      </c>
      <c r="C87" s="79" t="str">
        <f t="shared" ref="C87" si="52">TEXT(DEC2BIN(B87), "00000000")</f>
        <v>00110000</v>
      </c>
      <c r="D87" s="80" t="str">
        <f t="shared" ref="D87" si="53">DEC2HEX(B87)</f>
        <v>30</v>
      </c>
      <c r="E87" s="81" t="s">
        <v>27</v>
      </c>
      <c r="F87" s="82"/>
      <c r="G87" s="82"/>
      <c r="H87" s="81">
        <v>0</v>
      </c>
      <c r="I87" s="79" t="str">
        <f t="shared" ref="I87:I92" si="54">TEXT(DEC2BIN(H87), "00000")</f>
        <v>00000</v>
      </c>
      <c r="J87" s="81" t="s">
        <v>14</v>
      </c>
      <c r="K87" s="81" t="s">
        <v>18</v>
      </c>
    </row>
    <row r="88" spans="1:11" x14ac:dyDescent="0.25">
      <c r="B88" s="3">
        <f t="shared" ref="B88:B92" si="55">(B87)</f>
        <v>48</v>
      </c>
      <c r="C88" s="4" t="str">
        <f t="shared" ref="C88:C92" si="56">TEXT(DEC2BIN(B88), "00000000")</f>
        <v>00110000</v>
      </c>
      <c r="D88" s="2" t="str">
        <f t="shared" ref="D88:D92" si="57">DEC2HEX(B88)</f>
        <v>30</v>
      </c>
      <c r="E88" s="1"/>
      <c r="F88" s="12"/>
      <c r="G88" s="12"/>
      <c r="H88" s="1">
        <f t="shared" ref="H88:H92" si="58">H87+1</f>
        <v>1</v>
      </c>
      <c r="I88" s="4" t="str">
        <f t="shared" si="54"/>
        <v>00001</v>
      </c>
      <c r="J88" s="1" t="s">
        <v>13</v>
      </c>
      <c r="K88" s="1"/>
    </row>
    <row r="89" spans="1:11" x14ac:dyDescent="0.25">
      <c r="B89" s="3">
        <f t="shared" si="55"/>
        <v>48</v>
      </c>
      <c r="C89" s="4" t="str">
        <f t="shared" si="56"/>
        <v>00110000</v>
      </c>
      <c r="D89" s="2" t="str">
        <f t="shared" si="57"/>
        <v>30</v>
      </c>
      <c r="E89" s="1"/>
      <c r="F89" s="12"/>
      <c r="G89" s="12"/>
      <c r="H89" s="11">
        <f t="shared" si="58"/>
        <v>2</v>
      </c>
      <c r="I89" s="4" t="str">
        <f t="shared" si="54"/>
        <v>00010</v>
      </c>
      <c r="J89" s="11" t="s">
        <v>15</v>
      </c>
      <c r="K89" s="11"/>
    </row>
    <row r="90" spans="1:11" x14ac:dyDescent="0.25">
      <c r="B90" s="3">
        <f t="shared" si="55"/>
        <v>48</v>
      </c>
      <c r="C90" s="4" t="str">
        <f t="shared" si="56"/>
        <v>00110000</v>
      </c>
      <c r="D90" s="2" t="str">
        <f t="shared" si="57"/>
        <v>30</v>
      </c>
      <c r="E90" s="1"/>
      <c r="F90" s="12"/>
      <c r="G90" s="12"/>
      <c r="H90" s="11">
        <f t="shared" si="58"/>
        <v>3</v>
      </c>
      <c r="I90" s="4" t="str">
        <f t="shared" si="54"/>
        <v>00011</v>
      </c>
      <c r="J90" s="1" t="s">
        <v>45</v>
      </c>
      <c r="K90" s="11"/>
    </row>
    <row r="91" spans="1:11" x14ac:dyDescent="0.25">
      <c r="B91" s="3">
        <f t="shared" si="55"/>
        <v>48</v>
      </c>
      <c r="C91" s="4" t="str">
        <f t="shared" si="56"/>
        <v>00110000</v>
      </c>
      <c r="D91" s="2" t="str">
        <f t="shared" si="57"/>
        <v>30</v>
      </c>
      <c r="E91" s="1"/>
      <c r="F91" s="12"/>
      <c r="G91" s="12"/>
      <c r="H91" s="11">
        <f t="shared" si="58"/>
        <v>4</v>
      </c>
      <c r="I91" s="4" t="str">
        <f t="shared" si="54"/>
        <v>00100</v>
      </c>
      <c r="J91" s="1" t="s">
        <v>50</v>
      </c>
      <c r="K91" s="1"/>
    </row>
    <row r="92" spans="1:11" x14ac:dyDescent="0.25">
      <c r="B92" s="3">
        <f t="shared" si="55"/>
        <v>48</v>
      </c>
      <c r="C92" s="4" t="str">
        <f t="shared" si="56"/>
        <v>00110000</v>
      </c>
      <c r="D92" s="2" t="str">
        <f t="shared" si="57"/>
        <v>30</v>
      </c>
      <c r="E92" s="1"/>
      <c r="F92" s="12"/>
      <c r="G92" s="12"/>
      <c r="H92" s="11">
        <f t="shared" si="58"/>
        <v>5</v>
      </c>
      <c r="I92" s="4" t="str">
        <f t="shared" si="54"/>
        <v>00101</v>
      </c>
      <c r="J92" s="1" t="s">
        <v>236</v>
      </c>
      <c r="K92" s="1" t="s">
        <v>238</v>
      </c>
    </row>
    <row r="93" spans="1:11" x14ac:dyDescent="0.25">
      <c r="B93" s="3"/>
      <c r="C93" s="4"/>
      <c r="E93" s="1"/>
      <c r="F93" s="12"/>
      <c r="G93" s="12"/>
      <c r="H93" s="11"/>
      <c r="I93" s="11"/>
      <c r="J93" s="1"/>
      <c r="K93" s="1"/>
    </row>
    <row r="94" spans="1:11" x14ac:dyDescent="0.25">
      <c r="A94" t="s">
        <v>26</v>
      </c>
      <c r="B94" s="3">
        <v>49</v>
      </c>
      <c r="C94" s="4" t="str">
        <f t="shared" ref="C94:C115" si="59">TEXT(DEC2BIN(B94), "00000000")</f>
        <v>00110001</v>
      </c>
      <c r="D94" s="2" t="str">
        <f t="shared" ref="D94:D115" si="60">DEC2HEX(B94)</f>
        <v>31</v>
      </c>
      <c r="E94" s="1" t="s">
        <v>24</v>
      </c>
      <c r="F94" s="12"/>
      <c r="G94" s="12"/>
      <c r="H94" s="11">
        <v>0</v>
      </c>
      <c r="I94" s="4" t="str">
        <f t="shared" ref="I94:I115" si="61">TEXT(DEC2BIN(H94), "00000")</f>
        <v>00000</v>
      </c>
      <c r="J94" s="1" t="s">
        <v>14</v>
      </c>
      <c r="K94" s="1" t="s">
        <v>18</v>
      </c>
    </row>
    <row r="95" spans="1:11" x14ac:dyDescent="0.25">
      <c r="B95" s="3">
        <f>(B94)</f>
        <v>49</v>
      </c>
      <c r="C95" s="4" t="str">
        <f t="shared" si="59"/>
        <v>00110001</v>
      </c>
      <c r="D95" s="2" t="str">
        <f t="shared" si="60"/>
        <v>31</v>
      </c>
      <c r="E95" s="1"/>
      <c r="F95" s="12"/>
      <c r="G95" s="12"/>
      <c r="H95" s="11">
        <f t="shared" ref="H95:H104" si="62">H94+1</f>
        <v>1</v>
      </c>
      <c r="I95" s="4" t="str">
        <f t="shared" si="61"/>
        <v>00001</v>
      </c>
      <c r="J95" s="1" t="s">
        <v>13</v>
      </c>
      <c r="K95" s="1"/>
    </row>
    <row r="96" spans="1:11" x14ac:dyDescent="0.25">
      <c r="B96" s="3">
        <f t="shared" ref="B96:B104" si="63">(B95)</f>
        <v>49</v>
      </c>
      <c r="C96" s="4" t="str">
        <f t="shared" si="59"/>
        <v>00110001</v>
      </c>
      <c r="D96" s="2" t="str">
        <f t="shared" si="60"/>
        <v>31</v>
      </c>
      <c r="E96" s="1"/>
      <c r="F96" s="12"/>
      <c r="G96" s="12"/>
      <c r="H96" s="11">
        <f t="shared" si="62"/>
        <v>2</v>
      </c>
      <c r="I96" s="4" t="str">
        <f t="shared" si="61"/>
        <v>00010</v>
      </c>
      <c r="J96" s="11" t="s">
        <v>15</v>
      </c>
      <c r="K96" s="11"/>
    </row>
    <row r="97" spans="1:11" x14ac:dyDescent="0.25">
      <c r="B97" s="3">
        <f t="shared" si="63"/>
        <v>49</v>
      </c>
      <c r="C97" s="4" t="str">
        <f t="shared" si="59"/>
        <v>00110001</v>
      </c>
      <c r="D97" s="2" t="str">
        <f t="shared" si="60"/>
        <v>31</v>
      </c>
      <c r="E97" s="1"/>
      <c r="F97" s="12"/>
      <c r="G97" s="12"/>
      <c r="H97" s="11">
        <f t="shared" si="62"/>
        <v>3</v>
      </c>
      <c r="I97" s="4" t="str">
        <f t="shared" si="61"/>
        <v>00011</v>
      </c>
      <c r="J97" s="1" t="s">
        <v>42</v>
      </c>
      <c r="K97" s="11"/>
    </row>
    <row r="98" spans="1:11" x14ac:dyDescent="0.25">
      <c r="B98" s="3">
        <f t="shared" si="63"/>
        <v>49</v>
      </c>
      <c r="C98" s="4" t="str">
        <f t="shared" si="59"/>
        <v>00110001</v>
      </c>
      <c r="D98" s="2" t="str">
        <f t="shared" si="60"/>
        <v>31</v>
      </c>
      <c r="E98" s="1"/>
      <c r="F98" s="12"/>
      <c r="G98" s="12"/>
      <c r="H98" s="11">
        <f t="shared" si="62"/>
        <v>4</v>
      </c>
      <c r="I98" s="4" t="str">
        <f t="shared" si="61"/>
        <v>00100</v>
      </c>
      <c r="J98" s="1" t="s">
        <v>43</v>
      </c>
      <c r="K98" s="1"/>
    </row>
    <row r="99" spans="1:11" x14ac:dyDescent="0.25">
      <c r="B99" s="3">
        <f t="shared" si="63"/>
        <v>49</v>
      </c>
      <c r="C99" s="4" t="str">
        <f t="shared" si="59"/>
        <v>00110001</v>
      </c>
      <c r="D99" s="2" t="str">
        <f t="shared" si="60"/>
        <v>31</v>
      </c>
      <c r="E99" s="1"/>
      <c r="F99" s="12"/>
      <c r="G99" s="12"/>
      <c r="H99" s="11">
        <f t="shared" si="62"/>
        <v>5</v>
      </c>
      <c r="I99" s="4" t="str">
        <f t="shared" si="61"/>
        <v>00101</v>
      </c>
      <c r="J99" s="11" t="s">
        <v>15</v>
      </c>
      <c r="K99" s="1"/>
    </row>
    <row r="100" spans="1:11" x14ac:dyDescent="0.25">
      <c r="B100" s="3">
        <f t="shared" si="63"/>
        <v>49</v>
      </c>
      <c r="C100" s="4" t="str">
        <f t="shared" si="59"/>
        <v>00110001</v>
      </c>
      <c r="D100" s="2" t="str">
        <f t="shared" si="60"/>
        <v>31</v>
      </c>
      <c r="E100" s="1"/>
      <c r="F100" s="12"/>
      <c r="G100" s="12"/>
      <c r="H100" s="11">
        <f t="shared" si="62"/>
        <v>6</v>
      </c>
      <c r="I100" s="4" t="str">
        <f t="shared" si="61"/>
        <v>00110</v>
      </c>
      <c r="J100" s="1" t="s">
        <v>44</v>
      </c>
      <c r="K100" s="11"/>
    </row>
    <row r="101" spans="1:11" x14ac:dyDescent="0.25">
      <c r="B101" s="3">
        <f t="shared" si="63"/>
        <v>49</v>
      </c>
      <c r="C101" s="4" t="str">
        <f t="shared" si="59"/>
        <v>00110001</v>
      </c>
      <c r="D101" s="2" t="str">
        <f t="shared" si="60"/>
        <v>31</v>
      </c>
      <c r="E101" s="1"/>
      <c r="F101" s="12"/>
      <c r="G101" s="12"/>
      <c r="H101" s="11">
        <f t="shared" si="62"/>
        <v>7</v>
      </c>
      <c r="I101" s="4" t="str">
        <f t="shared" si="61"/>
        <v>00111</v>
      </c>
      <c r="J101" s="1" t="s">
        <v>53</v>
      </c>
      <c r="K101" s="11"/>
    </row>
    <row r="102" spans="1:11" x14ac:dyDescent="0.25">
      <c r="B102" s="3">
        <f t="shared" si="63"/>
        <v>49</v>
      </c>
      <c r="C102" s="4" t="str">
        <f t="shared" si="59"/>
        <v>00110001</v>
      </c>
      <c r="D102" s="2" t="str">
        <f t="shared" si="60"/>
        <v>31</v>
      </c>
      <c r="H102" s="11">
        <f t="shared" si="62"/>
        <v>8</v>
      </c>
      <c r="I102" s="4" t="str">
        <f t="shared" si="61"/>
        <v>01000</v>
      </c>
      <c r="J102" s="11" t="s">
        <v>51</v>
      </c>
      <c r="K102" s="1"/>
    </row>
    <row r="103" spans="1:11" x14ac:dyDescent="0.25">
      <c r="B103" s="3">
        <f t="shared" si="63"/>
        <v>49</v>
      </c>
      <c r="C103" s="4" t="str">
        <f t="shared" si="59"/>
        <v>00110001</v>
      </c>
      <c r="D103" s="2" t="str">
        <f t="shared" si="60"/>
        <v>31</v>
      </c>
      <c r="H103" s="11">
        <f t="shared" si="62"/>
        <v>9</v>
      </c>
      <c r="I103" s="4" t="str">
        <f t="shared" si="61"/>
        <v>01001</v>
      </c>
      <c r="J103" s="11" t="s">
        <v>52</v>
      </c>
      <c r="K103" s="1"/>
    </row>
    <row r="104" spans="1:11" x14ac:dyDescent="0.25">
      <c r="B104" s="3">
        <f t="shared" si="63"/>
        <v>49</v>
      </c>
      <c r="C104" s="4" t="str">
        <f t="shared" si="59"/>
        <v>00110001</v>
      </c>
      <c r="D104" s="2" t="str">
        <f t="shared" si="60"/>
        <v>31</v>
      </c>
      <c r="H104" s="11">
        <f t="shared" si="62"/>
        <v>10</v>
      </c>
      <c r="I104" s="4" t="str">
        <f t="shared" si="61"/>
        <v>01010</v>
      </c>
      <c r="J104" s="1" t="s">
        <v>236</v>
      </c>
      <c r="K104" s="1" t="s">
        <v>238</v>
      </c>
    </row>
    <row r="105" spans="1:11" x14ac:dyDescent="0.25">
      <c r="B105" s="3"/>
      <c r="C105" s="4"/>
      <c r="H105" s="11"/>
      <c r="I105" s="4"/>
      <c r="J105" s="1"/>
      <c r="K105" s="1"/>
    </row>
    <row r="106" spans="1:11" x14ac:dyDescent="0.25">
      <c r="A106" t="s">
        <v>112</v>
      </c>
      <c r="B106" s="3">
        <v>50</v>
      </c>
      <c r="C106" s="4" t="str">
        <f t="shared" si="59"/>
        <v>00110010</v>
      </c>
      <c r="D106" s="2" t="str">
        <f t="shared" si="60"/>
        <v>32</v>
      </c>
      <c r="E106" s="1" t="s">
        <v>46</v>
      </c>
      <c r="F106" s="12"/>
      <c r="G106" s="12"/>
      <c r="H106" s="11">
        <v>0</v>
      </c>
      <c r="I106" s="4" t="str">
        <f t="shared" si="61"/>
        <v>00000</v>
      </c>
      <c r="J106" s="1" t="s">
        <v>14</v>
      </c>
      <c r="K106" s="1" t="s">
        <v>18</v>
      </c>
    </row>
    <row r="107" spans="1:11" x14ac:dyDescent="0.25">
      <c r="B107" s="3">
        <f t="shared" ref="B107:B115" si="64">(B106)</f>
        <v>50</v>
      </c>
      <c r="C107" s="4" t="str">
        <f t="shared" si="59"/>
        <v>00110010</v>
      </c>
      <c r="D107" s="2" t="str">
        <f t="shared" si="60"/>
        <v>32</v>
      </c>
      <c r="E107" s="1"/>
      <c r="F107" s="12"/>
      <c r="G107" s="12"/>
      <c r="H107" s="11">
        <f t="shared" ref="H107:H115" si="65">H106+1</f>
        <v>1</v>
      </c>
      <c r="I107" s="4" t="str">
        <f t="shared" si="61"/>
        <v>00001</v>
      </c>
      <c r="J107" s="1" t="s">
        <v>13</v>
      </c>
      <c r="K107" s="1"/>
    </row>
    <row r="108" spans="1:11" x14ac:dyDescent="0.25">
      <c r="B108" s="3">
        <f t="shared" si="64"/>
        <v>50</v>
      </c>
      <c r="C108" s="4" t="str">
        <f t="shared" si="59"/>
        <v>00110010</v>
      </c>
      <c r="D108" s="2" t="str">
        <f t="shared" si="60"/>
        <v>32</v>
      </c>
      <c r="E108" s="1"/>
      <c r="F108" s="12"/>
      <c r="G108" s="12"/>
      <c r="H108" s="11">
        <f t="shared" si="65"/>
        <v>2</v>
      </c>
      <c r="I108" s="4" t="str">
        <f t="shared" si="61"/>
        <v>00010</v>
      </c>
      <c r="J108" s="11" t="s">
        <v>15</v>
      </c>
      <c r="K108" s="11" t="s">
        <v>21</v>
      </c>
    </row>
    <row r="109" spans="1:11" x14ac:dyDescent="0.25">
      <c r="B109" s="3">
        <f t="shared" si="64"/>
        <v>50</v>
      </c>
      <c r="C109" s="4" t="str">
        <f t="shared" si="59"/>
        <v>00110010</v>
      </c>
      <c r="D109" s="2" t="str">
        <f t="shared" si="60"/>
        <v>32</v>
      </c>
      <c r="E109" s="1"/>
      <c r="F109" s="12"/>
      <c r="G109" s="12"/>
      <c r="H109" s="11">
        <f t="shared" si="65"/>
        <v>3</v>
      </c>
      <c r="I109" s="4" t="str">
        <f t="shared" si="61"/>
        <v>00011</v>
      </c>
      <c r="J109" s="1" t="s">
        <v>42</v>
      </c>
      <c r="K109" s="11" t="s">
        <v>203</v>
      </c>
    </row>
    <row r="110" spans="1:11" x14ac:dyDescent="0.25">
      <c r="B110" s="3">
        <f t="shared" si="64"/>
        <v>50</v>
      </c>
      <c r="C110" s="4" t="str">
        <f t="shared" si="59"/>
        <v>00110010</v>
      </c>
      <c r="D110" s="2" t="str">
        <f t="shared" si="60"/>
        <v>32</v>
      </c>
      <c r="E110" s="1"/>
      <c r="F110" s="12"/>
      <c r="G110" s="12"/>
      <c r="H110" s="11">
        <f t="shared" si="65"/>
        <v>4</v>
      </c>
      <c r="I110" s="4" t="str">
        <f t="shared" si="61"/>
        <v>00100</v>
      </c>
      <c r="J110" s="1" t="s">
        <v>43</v>
      </c>
      <c r="K110" s="1"/>
    </row>
    <row r="111" spans="1:11" x14ac:dyDescent="0.25">
      <c r="B111" s="3">
        <f t="shared" si="64"/>
        <v>50</v>
      </c>
      <c r="C111" s="4" t="str">
        <f t="shared" si="59"/>
        <v>00110010</v>
      </c>
      <c r="D111" s="2" t="str">
        <f t="shared" si="60"/>
        <v>32</v>
      </c>
      <c r="E111" s="1"/>
      <c r="F111" s="12"/>
      <c r="G111" s="12"/>
      <c r="H111" s="11">
        <f t="shared" si="65"/>
        <v>5</v>
      </c>
      <c r="I111" s="4" t="str">
        <f t="shared" si="61"/>
        <v>00101</v>
      </c>
      <c r="J111" s="11" t="s">
        <v>15</v>
      </c>
      <c r="K111" s="11" t="s">
        <v>21</v>
      </c>
    </row>
    <row r="112" spans="1:11" x14ac:dyDescent="0.25">
      <c r="B112" s="3">
        <f t="shared" si="64"/>
        <v>50</v>
      </c>
      <c r="C112" s="4" t="str">
        <f t="shared" si="59"/>
        <v>00110010</v>
      </c>
      <c r="D112" s="2" t="str">
        <f t="shared" si="60"/>
        <v>32</v>
      </c>
      <c r="E112" s="1"/>
      <c r="F112" s="12"/>
      <c r="G112" s="12"/>
      <c r="H112" s="11">
        <f t="shared" si="65"/>
        <v>6</v>
      </c>
      <c r="I112" s="4" t="str">
        <f t="shared" si="61"/>
        <v>00110</v>
      </c>
      <c r="J112" s="1" t="s">
        <v>44</v>
      </c>
      <c r="K112" s="11" t="s">
        <v>204</v>
      </c>
    </row>
    <row r="113" spans="1:11" x14ac:dyDescent="0.25">
      <c r="B113" s="3">
        <f t="shared" si="64"/>
        <v>50</v>
      </c>
      <c r="C113" s="4" t="str">
        <f t="shared" si="59"/>
        <v>00110010</v>
      </c>
      <c r="D113" s="2" t="str">
        <f t="shared" si="60"/>
        <v>32</v>
      </c>
      <c r="E113" s="1"/>
      <c r="F113" s="12"/>
      <c r="G113" s="12"/>
      <c r="H113" s="11">
        <f t="shared" si="65"/>
        <v>7</v>
      </c>
      <c r="I113" s="4" t="str">
        <f t="shared" si="61"/>
        <v>00111</v>
      </c>
      <c r="J113" s="1" t="s">
        <v>53</v>
      </c>
      <c r="K113" s="11"/>
    </row>
    <row r="114" spans="1:11" x14ac:dyDescent="0.25">
      <c r="B114" s="3">
        <f t="shared" si="64"/>
        <v>50</v>
      </c>
      <c r="C114" s="4" t="str">
        <f t="shared" si="59"/>
        <v>00110010</v>
      </c>
      <c r="D114" s="2" t="str">
        <f t="shared" si="60"/>
        <v>32</v>
      </c>
      <c r="H114" s="11">
        <f t="shared" si="65"/>
        <v>8</v>
      </c>
      <c r="I114" s="4" t="str">
        <f t="shared" si="61"/>
        <v>01000</v>
      </c>
      <c r="J114" s="11" t="s">
        <v>47</v>
      </c>
      <c r="K114" s="11" t="s">
        <v>49</v>
      </c>
    </row>
    <row r="115" spans="1:11" x14ac:dyDescent="0.25">
      <c r="B115" s="3">
        <f t="shared" si="64"/>
        <v>50</v>
      </c>
      <c r="C115" s="4" t="str">
        <f t="shared" si="59"/>
        <v>00110010</v>
      </c>
      <c r="D115" s="2" t="str">
        <f t="shared" si="60"/>
        <v>32</v>
      </c>
      <c r="H115" s="11">
        <f t="shared" si="65"/>
        <v>9</v>
      </c>
      <c r="I115" s="4" t="str">
        <f t="shared" si="61"/>
        <v>01001</v>
      </c>
      <c r="J115" s="1" t="s">
        <v>236</v>
      </c>
      <c r="K115" s="1" t="s">
        <v>238</v>
      </c>
    </row>
    <row r="116" spans="1:11" x14ac:dyDescent="0.25">
      <c r="B116" s="3"/>
      <c r="C116" s="4"/>
      <c r="H116" s="11"/>
      <c r="I116" s="4"/>
      <c r="J116" s="1"/>
      <c r="K116" s="1"/>
    </row>
    <row r="117" spans="1:11" s="50" customFormat="1" ht="15" customHeight="1" x14ac:dyDescent="0.25">
      <c r="A117" s="44" t="s">
        <v>71</v>
      </c>
      <c r="B117" s="51">
        <v>51</v>
      </c>
      <c r="C117" s="4" t="str">
        <f t="shared" ref="C117:C121" si="66">TEXT(DEC2BIN(B117), "00000000")</f>
        <v>00110011</v>
      </c>
      <c r="D117" s="2" t="str">
        <f>DEC2HEX(B117)</f>
        <v>33</v>
      </c>
      <c r="E117" s="54" t="s">
        <v>117</v>
      </c>
      <c r="F117" s="55"/>
      <c r="G117" s="55"/>
      <c r="H117" s="11">
        <v>0</v>
      </c>
      <c r="I117" s="4" t="str">
        <f>TEXT(DEC2BIN(H117), "00000")</f>
        <v>00000</v>
      </c>
      <c r="J117" s="1" t="s">
        <v>14</v>
      </c>
      <c r="K117" s="54"/>
    </row>
    <row r="118" spans="1:11" s="50" customFormat="1" ht="15" customHeight="1" x14ac:dyDescent="0.25">
      <c r="A118" s="44"/>
      <c r="B118" s="3">
        <f t="shared" ref="B118:B120" si="67">(B117)</f>
        <v>51</v>
      </c>
      <c r="C118" s="4" t="str">
        <f t="shared" si="66"/>
        <v>00110011</v>
      </c>
      <c r="D118" s="2" t="str">
        <f t="shared" ref="D118:D121" si="68">DEC2HEX(B118)</f>
        <v>33</v>
      </c>
      <c r="E118" s="54"/>
      <c r="F118" s="55"/>
      <c r="G118" s="55"/>
      <c r="H118" s="11">
        <f t="shared" ref="H118:H121" si="69">H117+1</f>
        <v>1</v>
      </c>
      <c r="I118" s="4" t="str">
        <f>TEXT(DEC2BIN(H118), "00000")</f>
        <v>00001</v>
      </c>
      <c r="J118" s="1" t="s">
        <v>13</v>
      </c>
      <c r="K118" s="54"/>
    </row>
    <row r="119" spans="1:11" s="64" customFormat="1" ht="15" customHeight="1" x14ac:dyDescent="0.25">
      <c r="A119" s="60"/>
      <c r="B119" s="3">
        <f t="shared" si="67"/>
        <v>51</v>
      </c>
      <c r="C119" s="4" t="str">
        <f t="shared" si="66"/>
        <v>00110011</v>
      </c>
      <c r="D119" s="2" t="str">
        <f t="shared" si="68"/>
        <v>33</v>
      </c>
      <c r="E119" s="65"/>
      <c r="F119" s="66"/>
      <c r="G119" s="66"/>
      <c r="H119" s="11">
        <f t="shared" si="69"/>
        <v>2</v>
      </c>
      <c r="I119" s="4" t="str">
        <f>TEXT(DEC2BIN(H119), "00000")</f>
        <v>00010</v>
      </c>
      <c r="J119" s="1" t="s">
        <v>156</v>
      </c>
      <c r="K119" s="65"/>
    </row>
    <row r="120" spans="1:11" s="64" customFormat="1" ht="15" customHeight="1" x14ac:dyDescent="0.25">
      <c r="A120" s="60"/>
      <c r="B120" s="3">
        <f t="shared" si="67"/>
        <v>51</v>
      </c>
      <c r="C120" s="4" t="str">
        <f t="shared" si="66"/>
        <v>00110011</v>
      </c>
      <c r="D120" s="2" t="str">
        <f t="shared" si="68"/>
        <v>33</v>
      </c>
      <c r="E120" s="65"/>
      <c r="F120" s="66"/>
      <c r="G120" s="66"/>
      <c r="H120" s="11">
        <f t="shared" si="69"/>
        <v>3</v>
      </c>
      <c r="I120" s="4" t="str">
        <f>TEXT(DEC2BIN(H120), "00000")</f>
        <v>00011</v>
      </c>
      <c r="J120" s="1" t="s">
        <v>159</v>
      </c>
      <c r="K120" s="65"/>
    </row>
    <row r="121" spans="1:11" x14ac:dyDescent="0.25">
      <c r="B121" s="3">
        <f>(B118)</f>
        <v>51</v>
      </c>
      <c r="C121" s="4" t="str">
        <f t="shared" si="66"/>
        <v>00110011</v>
      </c>
      <c r="D121" s="2" t="str">
        <f t="shared" si="68"/>
        <v>33</v>
      </c>
      <c r="H121" s="11">
        <f t="shared" si="69"/>
        <v>4</v>
      </c>
      <c r="I121" s="4" t="str">
        <f>TEXT(DEC2BIN(H121), "00000")</f>
        <v>00100</v>
      </c>
      <c r="J121" s="1" t="s">
        <v>236</v>
      </c>
      <c r="K121" s="1" t="s">
        <v>238</v>
      </c>
    </row>
    <row r="122" spans="1:11" s="50" customFormat="1" ht="15" customHeight="1" x14ac:dyDescent="0.25">
      <c r="A122" s="44"/>
      <c r="B122" s="51"/>
      <c r="C122" s="52"/>
      <c r="D122" s="53"/>
      <c r="E122" s="54"/>
      <c r="F122" s="55"/>
      <c r="G122" s="55"/>
      <c r="H122" s="11"/>
      <c r="I122" s="4"/>
      <c r="J122" s="1"/>
      <c r="K122" s="54"/>
    </row>
    <row r="123" spans="1:11" s="50" customFormat="1" ht="15" customHeight="1" x14ac:dyDescent="0.25">
      <c r="A123" s="44" t="s">
        <v>72</v>
      </c>
      <c r="B123" s="45">
        <v>52</v>
      </c>
      <c r="C123" s="4" t="str">
        <f t="shared" ref="C123:C127" si="70">TEXT(DEC2BIN(B123), "00000000")</f>
        <v>00110100</v>
      </c>
      <c r="D123" s="2" t="str">
        <f>DEC2HEX(B123)</f>
        <v>34</v>
      </c>
      <c r="E123" s="48" t="s">
        <v>118</v>
      </c>
      <c r="F123" s="49"/>
      <c r="G123" s="49"/>
      <c r="H123" s="11">
        <v>0</v>
      </c>
      <c r="I123" s="4" t="str">
        <f>TEXT(DEC2BIN(H123), "00000")</f>
        <v>00000</v>
      </c>
      <c r="J123" s="1" t="s">
        <v>14</v>
      </c>
      <c r="K123" s="48"/>
    </row>
    <row r="124" spans="1:11" s="50" customFormat="1" ht="15" customHeight="1" x14ac:dyDescent="0.25">
      <c r="A124" s="44"/>
      <c r="B124" s="3">
        <f t="shared" ref="B124:B126" si="71">(B123)</f>
        <v>52</v>
      </c>
      <c r="C124" s="4" t="str">
        <f t="shared" si="70"/>
        <v>00110100</v>
      </c>
      <c r="D124" s="2" t="str">
        <f t="shared" ref="D124:D127" si="72">DEC2HEX(B124)</f>
        <v>34</v>
      </c>
      <c r="E124" s="48"/>
      <c r="F124" s="49"/>
      <c r="G124" s="49"/>
      <c r="H124" s="11">
        <f t="shared" ref="H124:H127" si="73">H123+1</f>
        <v>1</v>
      </c>
      <c r="I124" s="4" t="str">
        <f>TEXT(DEC2BIN(H124), "00000")</f>
        <v>00001</v>
      </c>
      <c r="J124" s="1" t="s">
        <v>13</v>
      </c>
      <c r="K124" s="48"/>
    </row>
    <row r="125" spans="1:11" s="64" customFormat="1" ht="15" customHeight="1" x14ac:dyDescent="0.25">
      <c r="A125" s="60"/>
      <c r="B125" s="3">
        <f t="shared" si="71"/>
        <v>52</v>
      </c>
      <c r="C125" s="4" t="str">
        <f t="shared" si="70"/>
        <v>00110100</v>
      </c>
      <c r="D125" s="2" t="str">
        <f t="shared" si="72"/>
        <v>34</v>
      </c>
      <c r="E125" s="65"/>
      <c r="F125" s="66"/>
      <c r="G125" s="66"/>
      <c r="H125" s="11">
        <f t="shared" si="73"/>
        <v>2</v>
      </c>
      <c r="I125" s="4" t="str">
        <f>TEXT(DEC2BIN(H125), "00000")</f>
        <v>00010</v>
      </c>
      <c r="J125" s="1" t="s">
        <v>148</v>
      </c>
      <c r="K125" s="65"/>
    </row>
    <row r="126" spans="1:11" s="64" customFormat="1" ht="15" customHeight="1" x14ac:dyDescent="0.25">
      <c r="A126" s="60"/>
      <c r="B126" s="3">
        <f t="shared" si="71"/>
        <v>52</v>
      </c>
      <c r="C126" s="4" t="str">
        <f t="shared" si="70"/>
        <v>00110100</v>
      </c>
      <c r="D126" s="2" t="str">
        <f t="shared" si="72"/>
        <v>34</v>
      </c>
      <c r="E126" s="65"/>
      <c r="F126" s="66"/>
      <c r="G126" s="66"/>
      <c r="H126" s="11">
        <f t="shared" si="73"/>
        <v>3</v>
      </c>
      <c r="I126" s="4" t="str">
        <f>TEXT(DEC2BIN(H126), "00000")</f>
        <v>00011</v>
      </c>
      <c r="J126" s="1" t="s">
        <v>149</v>
      </c>
      <c r="K126" s="65"/>
    </row>
    <row r="127" spans="1:11" x14ac:dyDescent="0.25">
      <c r="B127" s="3">
        <f>(B124)</f>
        <v>52</v>
      </c>
      <c r="C127" s="4" t="str">
        <f t="shared" si="70"/>
        <v>00110100</v>
      </c>
      <c r="D127" s="2" t="str">
        <f t="shared" si="72"/>
        <v>34</v>
      </c>
      <c r="H127" s="11">
        <f t="shared" si="73"/>
        <v>4</v>
      </c>
      <c r="I127" s="4" t="str">
        <f>TEXT(DEC2BIN(H127), "00000")</f>
        <v>00100</v>
      </c>
      <c r="J127" s="1" t="s">
        <v>236</v>
      </c>
      <c r="K127" s="1" t="s">
        <v>238</v>
      </c>
    </row>
    <row r="128" spans="1:11" s="50" customFormat="1" ht="15" customHeight="1" x14ac:dyDescent="0.25">
      <c r="A128" s="44"/>
      <c r="B128" s="45"/>
      <c r="C128" s="46"/>
      <c r="D128" s="47"/>
      <c r="E128" s="48"/>
      <c r="F128" s="49"/>
      <c r="G128" s="49"/>
      <c r="H128" s="11"/>
      <c r="I128" s="4"/>
      <c r="J128" s="1"/>
      <c r="K128" s="48"/>
    </row>
    <row r="129" spans="1:11" s="50" customFormat="1" ht="15" customHeight="1" x14ac:dyDescent="0.25">
      <c r="A129" s="44" t="s">
        <v>73</v>
      </c>
      <c r="B129" s="51">
        <v>53</v>
      </c>
      <c r="C129" s="4" t="str">
        <f t="shared" ref="C129:C133" si="74">TEXT(DEC2BIN(B129), "00000000")</f>
        <v>00110101</v>
      </c>
      <c r="D129" s="2" t="str">
        <f>DEC2HEX(B129)</f>
        <v>35</v>
      </c>
      <c r="E129" s="54" t="s">
        <v>119</v>
      </c>
      <c r="F129" s="55"/>
      <c r="G129" s="55"/>
      <c r="H129" s="11">
        <v>0</v>
      </c>
      <c r="I129" s="4" t="str">
        <f>TEXT(DEC2BIN(H129), "00000")</f>
        <v>00000</v>
      </c>
      <c r="J129" s="1" t="s">
        <v>14</v>
      </c>
      <c r="K129" s="54"/>
    </row>
    <row r="130" spans="1:11" s="50" customFormat="1" ht="15" customHeight="1" x14ac:dyDescent="0.25">
      <c r="A130" s="44"/>
      <c r="B130" s="3">
        <f t="shared" ref="B130:B132" si="75">(B129)</f>
        <v>53</v>
      </c>
      <c r="C130" s="4" t="str">
        <f t="shared" si="74"/>
        <v>00110101</v>
      </c>
      <c r="D130" s="2" t="str">
        <f t="shared" ref="D130:D133" si="76">DEC2HEX(B130)</f>
        <v>35</v>
      </c>
      <c r="E130" s="54"/>
      <c r="F130" s="55"/>
      <c r="G130" s="55"/>
      <c r="H130" s="11">
        <f t="shared" ref="H130:H133" si="77">H129+1</f>
        <v>1</v>
      </c>
      <c r="I130" s="4" t="str">
        <f>TEXT(DEC2BIN(H130), "00000")</f>
        <v>00001</v>
      </c>
      <c r="J130" s="1" t="s">
        <v>13</v>
      </c>
      <c r="K130" s="54"/>
    </row>
    <row r="131" spans="1:11" s="64" customFormat="1" ht="15" customHeight="1" x14ac:dyDescent="0.25">
      <c r="A131" s="60"/>
      <c r="B131" s="3">
        <f t="shared" si="75"/>
        <v>53</v>
      </c>
      <c r="C131" s="4" t="str">
        <f t="shared" si="74"/>
        <v>00110101</v>
      </c>
      <c r="D131" s="2" t="str">
        <f t="shared" si="76"/>
        <v>35</v>
      </c>
      <c r="E131" s="65"/>
      <c r="F131" s="66"/>
      <c r="G131" s="66"/>
      <c r="H131" s="11">
        <f t="shared" si="77"/>
        <v>2</v>
      </c>
      <c r="I131" s="4" t="str">
        <f>TEXT(DEC2BIN(H131), "00000")</f>
        <v>00010</v>
      </c>
      <c r="J131" s="1" t="s">
        <v>152</v>
      </c>
      <c r="K131" s="65"/>
    </row>
    <row r="132" spans="1:11" s="64" customFormat="1" ht="15" customHeight="1" x14ac:dyDescent="0.25">
      <c r="A132" s="60"/>
      <c r="B132" s="3">
        <f t="shared" si="75"/>
        <v>53</v>
      </c>
      <c r="C132" s="4" t="str">
        <f t="shared" si="74"/>
        <v>00110101</v>
      </c>
      <c r="D132" s="2" t="str">
        <f t="shared" si="76"/>
        <v>35</v>
      </c>
      <c r="E132" s="65"/>
      <c r="F132" s="66"/>
      <c r="G132" s="66"/>
      <c r="H132" s="11">
        <f t="shared" si="77"/>
        <v>3</v>
      </c>
      <c r="I132" s="4" t="str">
        <f>TEXT(DEC2BIN(H132), "00000")</f>
        <v>00011</v>
      </c>
      <c r="J132" s="1" t="s">
        <v>153</v>
      </c>
      <c r="K132" s="65"/>
    </row>
    <row r="133" spans="1:11" x14ac:dyDescent="0.25">
      <c r="B133" s="3">
        <f>(B130)</f>
        <v>53</v>
      </c>
      <c r="C133" s="4" t="str">
        <f t="shared" si="74"/>
        <v>00110101</v>
      </c>
      <c r="D133" s="2" t="str">
        <f t="shared" si="76"/>
        <v>35</v>
      </c>
      <c r="H133" s="11">
        <f t="shared" si="77"/>
        <v>4</v>
      </c>
      <c r="I133" s="4" t="str">
        <f>TEXT(DEC2BIN(H133), "00000")</f>
        <v>00100</v>
      </c>
      <c r="J133" s="1" t="s">
        <v>236</v>
      </c>
      <c r="K133" s="1" t="s">
        <v>238</v>
      </c>
    </row>
    <row r="134" spans="1:11" s="50" customFormat="1" ht="15" customHeight="1" x14ac:dyDescent="0.25">
      <c r="A134" s="44"/>
      <c r="B134" s="51"/>
      <c r="C134" s="52"/>
      <c r="D134" s="53"/>
      <c r="E134" s="54"/>
      <c r="F134" s="55"/>
      <c r="G134" s="55"/>
      <c r="H134" s="11"/>
      <c r="I134" s="4"/>
      <c r="J134" s="1"/>
      <c r="K134" s="54"/>
    </row>
    <row r="135" spans="1:11" s="50" customFormat="1" ht="15" customHeight="1" x14ac:dyDescent="0.25">
      <c r="A135" s="44" t="s">
        <v>74</v>
      </c>
      <c r="B135" s="45">
        <v>54</v>
      </c>
      <c r="C135" s="4" t="str">
        <f t="shared" ref="C135:C139" si="78">TEXT(DEC2BIN(B135), "00000000")</f>
        <v>00110110</v>
      </c>
      <c r="D135" s="2" t="str">
        <f>DEC2HEX(B135)</f>
        <v>36</v>
      </c>
      <c r="E135" s="48" t="s">
        <v>121</v>
      </c>
      <c r="F135" s="49"/>
      <c r="G135" s="49"/>
      <c r="H135" s="11">
        <v>0</v>
      </c>
      <c r="I135" s="4" t="str">
        <f>TEXT(DEC2BIN(H135), "00000")</f>
        <v>00000</v>
      </c>
      <c r="J135" s="1" t="s">
        <v>14</v>
      </c>
      <c r="K135" s="48"/>
    </row>
    <row r="136" spans="1:11" s="50" customFormat="1" ht="15" customHeight="1" x14ac:dyDescent="0.25">
      <c r="A136" s="44"/>
      <c r="B136" s="3">
        <f t="shared" ref="B136:B138" si="79">(B135)</f>
        <v>54</v>
      </c>
      <c r="C136" s="4" t="str">
        <f t="shared" si="78"/>
        <v>00110110</v>
      </c>
      <c r="D136" s="2" t="str">
        <f t="shared" ref="D136:D139" si="80">DEC2HEX(B136)</f>
        <v>36</v>
      </c>
      <c r="E136" s="48"/>
      <c r="F136" s="49"/>
      <c r="G136" s="49"/>
      <c r="H136" s="11">
        <f t="shared" ref="H136:H139" si="81">H135+1</f>
        <v>1</v>
      </c>
      <c r="I136" s="4" t="str">
        <f>TEXT(DEC2BIN(H136), "00000")</f>
        <v>00001</v>
      </c>
      <c r="J136" s="1" t="s">
        <v>13</v>
      </c>
      <c r="K136" s="48"/>
    </row>
    <row r="137" spans="1:11" s="64" customFormat="1" ht="15" customHeight="1" x14ac:dyDescent="0.25">
      <c r="A137" s="60"/>
      <c r="B137" s="3">
        <f t="shared" si="79"/>
        <v>54</v>
      </c>
      <c r="C137" s="4" t="str">
        <f t="shared" si="78"/>
        <v>00110110</v>
      </c>
      <c r="D137" s="2" t="str">
        <f t="shared" si="80"/>
        <v>36</v>
      </c>
      <c r="E137" s="65"/>
      <c r="F137" s="66"/>
      <c r="G137" s="66"/>
      <c r="H137" s="11">
        <f t="shared" si="81"/>
        <v>2</v>
      </c>
      <c r="I137" s="4" t="str">
        <f>TEXT(DEC2BIN(H137), "00000")</f>
        <v>00010</v>
      </c>
      <c r="J137" s="1" t="s">
        <v>154</v>
      </c>
      <c r="K137" s="65"/>
    </row>
    <row r="138" spans="1:11" s="64" customFormat="1" ht="15" customHeight="1" x14ac:dyDescent="0.25">
      <c r="A138" s="60"/>
      <c r="B138" s="3">
        <f t="shared" si="79"/>
        <v>54</v>
      </c>
      <c r="C138" s="4" t="str">
        <f t="shared" si="78"/>
        <v>00110110</v>
      </c>
      <c r="D138" s="2" t="str">
        <f t="shared" si="80"/>
        <v>36</v>
      </c>
      <c r="E138" s="65"/>
      <c r="F138" s="66"/>
      <c r="G138" s="66"/>
      <c r="H138" s="11">
        <f t="shared" si="81"/>
        <v>3</v>
      </c>
      <c r="I138" s="4" t="str">
        <f>TEXT(DEC2BIN(H138), "00000")</f>
        <v>00011</v>
      </c>
      <c r="J138" s="1" t="s">
        <v>155</v>
      </c>
      <c r="K138" s="65"/>
    </row>
    <row r="139" spans="1:11" x14ac:dyDescent="0.25">
      <c r="B139" s="3">
        <f>(B136)</f>
        <v>54</v>
      </c>
      <c r="C139" s="4" t="str">
        <f t="shared" si="78"/>
        <v>00110110</v>
      </c>
      <c r="D139" s="2" t="str">
        <f t="shared" si="80"/>
        <v>36</v>
      </c>
      <c r="H139" s="11">
        <f t="shared" si="81"/>
        <v>4</v>
      </c>
      <c r="I139" s="4" t="str">
        <f>TEXT(DEC2BIN(H139), "00000")</f>
        <v>00100</v>
      </c>
      <c r="J139" s="1" t="s">
        <v>236</v>
      </c>
      <c r="K139" s="1" t="s">
        <v>238</v>
      </c>
    </row>
    <row r="140" spans="1:11" s="50" customFormat="1" ht="15" customHeight="1" x14ac:dyDescent="0.25">
      <c r="A140" s="44"/>
      <c r="B140" s="45"/>
      <c r="C140" s="46"/>
      <c r="D140" s="47"/>
      <c r="E140" s="48"/>
      <c r="F140" s="49"/>
      <c r="G140" s="49"/>
      <c r="H140" s="11"/>
      <c r="I140" s="4"/>
      <c r="J140" s="1"/>
      <c r="K140" s="48"/>
    </row>
    <row r="141" spans="1:11" s="50" customFormat="1" ht="15" customHeight="1" x14ac:dyDescent="0.25">
      <c r="A141" s="44" t="s">
        <v>75</v>
      </c>
      <c r="B141" s="51">
        <v>55</v>
      </c>
      <c r="C141" s="4" t="str">
        <f t="shared" ref="C141:C145" si="82">TEXT(DEC2BIN(B141), "00000000")</f>
        <v>00110111</v>
      </c>
      <c r="D141" s="2" t="str">
        <f>DEC2HEX(B141)</f>
        <v>37</v>
      </c>
      <c r="E141" s="54" t="s">
        <v>120</v>
      </c>
      <c r="F141" s="55"/>
      <c r="G141" s="55"/>
      <c r="H141" s="11">
        <v>0</v>
      </c>
      <c r="I141" s="4" t="str">
        <f>TEXT(DEC2BIN(H141), "00000")</f>
        <v>00000</v>
      </c>
      <c r="J141" s="1" t="s">
        <v>14</v>
      </c>
      <c r="K141" s="54"/>
    </row>
    <row r="142" spans="1:11" s="50" customFormat="1" ht="15" customHeight="1" x14ac:dyDescent="0.25">
      <c r="A142" s="44"/>
      <c r="B142" s="3">
        <f t="shared" ref="B142:B144" si="83">(B141)</f>
        <v>55</v>
      </c>
      <c r="C142" s="4" t="str">
        <f t="shared" si="82"/>
        <v>00110111</v>
      </c>
      <c r="D142" s="2" t="str">
        <f t="shared" ref="D142:D145" si="84">DEC2HEX(B142)</f>
        <v>37</v>
      </c>
      <c r="E142" s="54"/>
      <c r="F142" s="55"/>
      <c r="G142" s="55"/>
      <c r="H142" s="11">
        <f t="shared" ref="H142:H145" si="85">H141+1</f>
        <v>1</v>
      </c>
      <c r="I142" s="4" t="str">
        <f>TEXT(DEC2BIN(H142), "00000")</f>
        <v>00001</v>
      </c>
      <c r="J142" s="1" t="s">
        <v>13</v>
      </c>
      <c r="K142" s="54"/>
    </row>
    <row r="143" spans="1:11" s="64" customFormat="1" ht="15" customHeight="1" x14ac:dyDescent="0.25">
      <c r="A143" s="60"/>
      <c r="B143" s="3">
        <f t="shared" si="83"/>
        <v>55</v>
      </c>
      <c r="C143" s="4" t="str">
        <f t="shared" si="82"/>
        <v>00110111</v>
      </c>
      <c r="D143" s="2" t="str">
        <f t="shared" si="84"/>
        <v>37</v>
      </c>
      <c r="E143" s="65"/>
      <c r="F143" s="66"/>
      <c r="G143" s="66"/>
      <c r="H143" s="11">
        <f t="shared" si="85"/>
        <v>2</v>
      </c>
      <c r="I143" s="4" t="str">
        <f>TEXT(DEC2BIN(H143), "00000")</f>
        <v>00010</v>
      </c>
      <c r="J143" s="1" t="s">
        <v>158</v>
      </c>
      <c r="K143" s="65"/>
    </row>
    <row r="144" spans="1:11" s="64" customFormat="1" ht="15" customHeight="1" x14ac:dyDescent="0.25">
      <c r="A144" s="60"/>
      <c r="B144" s="3">
        <f t="shared" si="83"/>
        <v>55</v>
      </c>
      <c r="C144" s="4" t="str">
        <f t="shared" si="82"/>
        <v>00110111</v>
      </c>
      <c r="D144" s="2" t="str">
        <f t="shared" si="84"/>
        <v>37</v>
      </c>
      <c r="E144" s="65"/>
      <c r="F144" s="66"/>
      <c r="G144" s="66"/>
      <c r="H144" s="11">
        <f t="shared" si="85"/>
        <v>3</v>
      </c>
      <c r="I144" s="4" t="str">
        <f>TEXT(DEC2BIN(H144), "00000")</f>
        <v>00011</v>
      </c>
      <c r="J144" s="1" t="s">
        <v>157</v>
      </c>
      <c r="K144" s="65"/>
    </row>
    <row r="145" spans="1:11" x14ac:dyDescent="0.25">
      <c r="B145" s="3">
        <f>(B142)</f>
        <v>55</v>
      </c>
      <c r="C145" s="4" t="str">
        <f t="shared" si="82"/>
        <v>00110111</v>
      </c>
      <c r="D145" s="2" t="str">
        <f t="shared" si="84"/>
        <v>37</v>
      </c>
      <c r="H145" s="11">
        <f t="shared" si="85"/>
        <v>4</v>
      </c>
      <c r="I145" s="4" t="str">
        <f>TEXT(DEC2BIN(H145), "00000")</f>
        <v>00100</v>
      </c>
      <c r="J145" s="1" t="s">
        <v>236</v>
      </c>
      <c r="K145" s="1" t="s">
        <v>238</v>
      </c>
    </row>
    <row r="146" spans="1:11" x14ac:dyDescent="0.25">
      <c r="B146" s="3"/>
      <c r="C146" s="4"/>
      <c r="H146" s="11"/>
      <c r="I146" s="4"/>
      <c r="J146" s="1"/>
      <c r="K146" s="1"/>
    </row>
    <row r="147" spans="1:11" s="88" customFormat="1" x14ac:dyDescent="0.25">
      <c r="A147" s="83" t="s">
        <v>60</v>
      </c>
      <c r="B147" s="84">
        <v>64</v>
      </c>
      <c r="C147" s="79" t="str">
        <f t="shared" ref="C147:C152" si="86">TEXT(DEC2BIN(B147), "00000000")</f>
        <v>01000000</v>
      </c>
      <c r="D147" s="80" t="str">
        <f>DEC2HEX(B147)</f>
        <v>40</v>
      </c>
      <c r="E147" s="85" t="s">
        <v>122</v>
      </c>
      <c r="F147" s="86"/>
      <c r="G147" s="86"/>
      <c r="H147" s="87">
        <v>0</v>
      </c>
      <c r="I147" s="79" t="str">
        <f t="shared" ref="I147:I152" si="87">TEXT(DEC2BIN(H147), "00000")</f>
        <v>00000</v>
      </c>
      <c r="J147" s="81" t="s">
        <v>14</v>
      </c>
      <c r="K147" s="85"/>
    </row>
    <row r="148" spans="1:11" s="50" customFormat="1" x14ac:dyDescent="0.25">
      <c r="A148" s="44"/>
      <c r="B148" s="3">
        <f t="shared" ref="B148:B151" si="88">(B147)</f>
        <v>64</v>
      </c>
      <c r="C148" s="4" t="str">
        <f t="shared" si="86"/>
        <v>01000000</v>
      </c>
      <c r="D148" s="2" t="str">
        <f t="shared" ref="D148:D152" si="89">DEC2HEX(B148)</f>
        <v>40</v>
      </c>
      <c r="E148" s="48"/>
      <c r="F148" s="49"/>
      <c r="G148" s="49"/>
      <c r="H148" s="11">
        <f t="shared" ref="H148:H151" si="90">H147+1</f>
        <v>1</v>
      </c>
      <c r="I148" s="4" t="str">
        <f t="shared" si="87"/>
        <v>00001</v>
      </c>
      <c r="J148" s="1" t="s">
        <v>13</v>
      </c>
      <c r="K148" s="48"/>
    </row>
    <row r="149" spans="1:11" x14ac:dyDescent="0.25">
      <c r="B149" s="3">
        <f t="shared" si="88"/>
        <v>64</v>
      </c>
      <c r="C149" s="4" t="str">
        <f t="shared" si="86"/>
        <v>01000000</v>
      </c>
      <c r="D149" s="2" t="str">
        <f t="shared" si="89"/>
        <v>40</v>
      </c>
      <c r="E149" s="1"/>
      <c r="F149" s="12"/>
      <c r="G149" s="12"/>
      <c r="H149" s="11">
        <f t="shared" si="90"/>
        <v>2</v>
      </c>
      <c r="I149" s="4" t="str">
        <f t="shared" si="87"/>
        <v>00010</v>
      </c>
      <c r="J149" s="11" t="s">
        <v>15</v>
      </c>
      <c r="K149" s="11"/>
    </row>
    <row r="150" spans="1:11" x14ac:dyDescent="0.25">
      <c r="B150" s="3">
        <f t="shared" si="88"/>
        <v>64</v>
      </c>
      <c r="C150" s="4" t="str">
        <f t="shared" si="86"/>
        <v>01000000</v>
      </c>
      <c r="D150" s="2" t="str">
        <f t="shared" si="89"/>
        <v>40</v>
      </c>
      <c r="E150" s="1"/>
      <c r="F150" s="12"/>
      <c r="G150" s="12"/>
      <c r="H150" s="11">
        <f t="shared" si="90"/>
        <v>3</v>
      </c>
      <c r="I150" s="4" t="str">
        <f t="shared" si="87"/>
        <v>00011</v>
      </c>
      <c r="J150" s="1" t="s">
        <v>103</v>
      </c>
      <c r="K150" s="11"/>
    </row>
    <row r="151" spans="1:11" x14ac:dyDescent="0.25">
      <c r="B151" s="3">
        <f t="shared" si="88"/>
        <v>64</v>
      </c>
      <c r="C151" s="4" t="str">
        <f t="shared" si="86"/>
        <v>01000000</v>
      </c>
      <c r="D151" s="2" t="str">
        <f t="shared" si="89"/>
        <v>40</v>
      </c>
      <c r="E151" s="1"/>
      <c r="F151" s="12"/>
      <c r="G151" s="12"/>
      <c r="H151" s="11">
        <f t="shared" si="90"/>
        <v>4</v>
      </c>
      <c r="I151" s="4" t="str">
        <f t="shared" si="87"/>
        <v>00100</v>
      </c>
      <c r="J151" s="1" t="s">
        <v>104</v>
      </c>
      <c r="K151" s="1"/>
    </row>
    <row r="152" spans="1:11" x14ac:dyDescent="0.25">
      <c r="B152" s="3">
        <f>(B148)</f>
        <v>64</v>
      </c>
      <c r="C152" s="4" t="str">
        <f t="shared" si="86"/>
        <v>01000000</v>
      </c>
      <c r="D152" s="2" t="str">
        <f t="shared" si="89"/>
        <v>40</v>
      </c>
      <c r="H152" s="11">
        <f>H148+1</f>
        <v>2</v>
      </c>
      <c r="I152" s="4" t="str">
        <f t="shared" si="87"/>
        <v>00010</v>
      </c>
      <c r="J152" s="1" t="s">
        <v>236</v>
      </c>
      <c r="K152" s="1" t="s">
        <v>238</v>
      </c>
    </row>
    <row r="153" spans="1:11" s="50" customFormat="1" x14ac:dyDescent="0.25">
      <c r="A153" s="44"/>
      <c r="B153" s="45"/>
      <c r="C153" s="46"/>
      <c r="D153" s="47"/>
      <c r="E153" s="48"/>
      <c r="F153" s="49"/>
      <c r="G153" s="49"/>
      <c r="H153" s="11"/>
      <c r="I153" s="4"/>
      <c r="J153" s="1"/>
      <c r="K153" s="48"/>
    </row>
    <row r="154" spans="1:11" s="50" customFormat="1" x14ac:dyDescent="0.25">
      <c r="A154" s="44" t="s">
        <v>61</v>
      </c>
      <c r="B154" s="51">
        <v>65</v>
      </c>
      <c r="C154" s="4" t="str">
        <f t="shared" ref="C154:C156" si="91">TEXT(DEC2BIN(B154), "00000000")</f>
        <v>01000001</v>
      </c>
      <c r="D154" s="2" t="str">
        <f>DEC2HEX(B154)</f>
        <v>41</v>
      </c>
      <c r="E154" s="54"/>
      <c r="F154" s="55"/>
      <c r="G154" s="55"/>
      <c r="H154" s="11">
        <v>0</v>
      </c>
      <c r="I154" s="4" t="str">
        <f>TEXT(DEC2BIN(H154), "00000")</f>
        <v>00000</v>
      </c>
      <c r="J154" s="1" t="s">
        <v>14</v>
      </c>
      <c r="K154" s="54"/>
    </row>
    <row r="155" spans="1:11" s="50" customFormat="1" x14ac:dyDescent="0.25">
      <c r="A155" s="44"/>
      <c r="B155" s="3">
        <f t="shared" ref="B155:B156" si="92">(B154)</f>
        <v>65</v>
      </c>
      <c r="C155" s="4" t="str">
        <f t="shared" si="91"/>
        <v>01000001</v>
      </c>
      <c r="D155" s="2" t="str">
        <f t="shared" ref="D155:D156" si="93">DEC2HEX(B155)</f>
        <v>41</v>
      </c>
      <c r="E155" s="54"/>
      <c r="F155" s="55"/>
      <c r="G155" s="55"/>
      <c r="H155" s="11">
        <f t="shared" ref="H155:H156" si="94">H154+1</f>
        <v>1</v>
      </c>
      <c r="I155" s="4" t="str">
        <f>TEXT(DEC2BIN(H155), "00000")</f>
        <v>00001</v>
      </c>
      <c r="J155" s="1" t="s">
        <v>13</v>
      </c>
      <c r="K155" s="54"/>
    </row>
    <row r="156" spans="1:11" x14ac:dyDescent="0.25">
      <c r="B156" s="3">
        <f t="shared" si="92"/>
        <v>65</v>
      </c>
      <c r="C156" s="4" t="str">
        <f t="shared" si="91"/>
        <v>01000001</v>
      </c>
      <c r="D156" s="2" t="str">
        <f t="shared" si="93"/>
        <v>41</v>
      </c>
      <c r="H156" s="11">
        <f t="shared" si="94"/>
        <v>2</v>
      </c>
      <c r="I156" s="4" t="str">
        <f>TEXT(DEC2BIN(H156), "00000")</f>
        <v>00010</v>
      </c>
      <c r="J156" s="1" t="s">
        <v>236</v>
      </c>
      <c r="K156" s="1" t="s">
        <v>238</v>
      </c>
    </row>
    <row r="157" spans="1:11" s="50" customFormat="1" x14ac:dyDescent="0.25">
      <c r="A157" s="44"/>
      <c r="B157" s="51"/>
      <c r="C157" s="52"/>
      <c r="D157" s="53"/>
      <c r="E157" s="54"/>
      <c r="F157" s="55"/>
      <c r="G157" s="55"/>
      <c r="H157" s="11"/>
      <c r="I157" s="4"/>
      <c r="J157" s="1"/>
      <c r="K157" s="54"/>
    </row>
    <row r="158" spans="1:11" s="50" customFormat="1" x14ac:dyDescent="0.25">
      <c r="A158" s="44" t="s">
        <v>62</v>
      </c>
      <c r="B158" s="45">
        <v>66</v>
      </c>
      <c r="C158" s="4" t="str">
        <f t="shared" ref="C158:C160" si="95">TEXT(DEC2BIN(B158), "00000000")</f>
        <v>01000010</v>
      </c>
      <c r="D158" s="2" t="str">
        <f>DEC2HEX(B158)</f>
        <v>42</v>
      </c>
      <c r="E158" s="48"/>
      <c r="F158" s="49"/>
      <c r="G158" s="49"/>
      <c r="H158" s="11">
        <v>0</v>
      </c>
      <c r="I158" s="4" t="str">
        <f>TEXT(DEC2BIN(H158), "00000")</f>
        <v>00000</v>
      </c>
      <c r="J158" s="1" t="s">
        <v>14</v>
      </c>
      <c r="K158" s="48"/>
    </row>
    <row r="159" spans="1:11" s="50" customFormat="1" x14ac:dyDescent="0.25">
      <c r="A159" s="44"/>
      <c r="B159" s="3">
        <f t="shared" ref="B159:B160" si="96">(B158)</f>
        <v>66</v>
      </c>
      <c r="C159" s="4" t="str">
        <f t="shared" si="95"/>
        <v>01000010</v>
      </c>
      <c r="D159" s="2" t="str">
        <f t="shared" ref="D159:D160" si="97">DEC2HEX(B159)</f>
        <v>42</v>
      </c>
      <c r="E159" s="48"/>
      <c r="F159" s="49"/>
      <c r="G159" s="49"/>
      <c r="H159" s="11">
        <f t="shared" ref="H159:H160" si="98">H158+1</f>
        <v>1</v>
      </c>
      <c r="I159" s="4" t="str">
        <f>TEXT(DEC2BIN(H159), "00000")</f>
        <v>00001</v>
      </c>
      <c r="J159" s="1" t="s">
        <v>13</v>
      </c>
      <c r="K159" s="48"/>
    </row>
    <row r="160" spans="1:11" x14ac:dyDescent="0.25">
      <c r="B160" s="3">
        <f t="shared" si="96"/>
        <v>66</v>
      </c>
      <c r="C160" s="4" t="str">
        <f t="shared" si="95"/>
        <v>01000010</v>
      </c>
      <c r="D160" s="2" t="str">
        <f t="shared" si="97"/>
        <v>42</v>
      </c>
      <c r="H160" s="11">
        <f t="shared" si="98"/>
        <v>2</v>
      </c>
      <c r="I160" s="4" t="str">
        <f>TEXT(DEC2BIN(H160), "00000")</f>
        <v>00010</v>
      </c>
      <c r="J160" s="1" t="s">
        <v>236</v>
      </c>
      <c r="K160" s="1" t="s">
        <v>238</v>
      </c>
    </row>
    <row r="161" spans="1:11" x14ac:dyDescent="0.25">
      <c r="B161" s="3"/>
      <c r="C161" s="4"/>
      <c r="H161" s="11"/>
      <c r="I161" s="4"/>
      <c r="J161" s="1"/>
      <c r="K161" s="1"/>
    </row>
    <row r="162" spans="1:11" s="50" customFormat="1" ht="15" customHeight="1" x14ac:dyDescent="0.25">
      <c r="A162" s="44" t="s">
        <v>76</v>
      </c>
      <c r="B162" s="45">
        <v>67</v>
      </c>
      <c r="C162" s="4" t="str">
        <f t="shared" ref="C162:C166" si="99">TEXT(DEC2BIN(B162), "00000000")</f>
        <v>01000011</v>
      </c>
      <c r="D162" s="2" t="str">
        <f>DEC2HEX(B162)</f>
        <v>43</v>
      </c>
      <c r="E162" s="1" t="s">
        <v>134</v>
      </c>
      <c r="F162" s="49"/>
      <c r="G162" s="49"/>
      <c r="H162" s="11">
        <v>0</v>
      </c>
      <c r="I162" s="4" t="str">
        <f>TEXT(DEC2BIN(H162), "00000")</f>
        <v>00000</v>
      </c>
      <c r="J162" s="1" t="s">
        <v>14</v>
      </c>
      <c r="K162" s="48"/>
    </row>
    <row r="163" spans="1:11" s="50" customFormat="1" ht="15" customHeight="1" x14ac:dyDescent="0.25">
      <c r="A163" s="44"/>
      <c r="B163" s="3">
        <f t="shared" ref="B163:B165" si="100">(B162)</f>
        <v>67</v>
      </c>
      <c r="C163" s="4" t="str">
        <f t="shared" si="99"/>
        <v>01000011</v>
      </c>
      <c r="D163" s="2" t="str">
        <f t="shared" ref="D163:D166" si="101">DEC2HEX(B163)</f>
        <v>43</v>
      </c>
      <c r="E163" s="48"/>
      <c r="F163" s="49"/>
      <c r="G163" s="49"/>
      <c r="H163" s="11">
        <f t="shared" ref="H163:H166" si="102">H162+1</f>
        <v>1</v>
      </c>
      <c r="I163" s="4" t="str">
        <f>TEXT(DEC2BIN(H163), "00000")</f>
        <v>00001</v>
      </c>
      <c r="J163" s="1" t="s">
        <v>13</v>
      </c>
      <c r="K163" s="48"/>
    </row>
    <row r="164" spans="1:11" s="64" customFormat="1" ht="15" customHeight="1" x14ac:dyDescent="0.25">
      <c r="A164" s="60"/>
      <c r="B164" s="3">
        <f t="shared" si="100"/>
        <v>67</v>
      </c>
      <c r="C164" s="4" t="str">
        <f t="shared" si="99"/>
        <v>01000011</v>
      </c>
      <c r="D164" s="2" t="str">
        <f t="shared" si="101"/>
        <v>43</v>
      </c>
      <c r="E164" s="65"/>
      <c r="F164" s="66"/>
      <c r="G164" s="66"/>
      <c r="H164" s="11">
        <f t="shared" si="102"/>
        <v>2</v>
      </c>
      <c r="I164" s="4" t="str">
        <f>TEXT(DEC2BIN(H164), "00000")</f>
        <v>00010</v>
      </c>
      <c r="J164" s="1" t="s">
        <v>158</v>
      </c>
      <c r="K164" s="65"/>
    </row>
    <row r="165" spans="1:11" s="64" customFormat="1" ht="15" customHeight="1" x14ac:dyDescent="0.25">
      <c r="A165" s="60"/>
      <c r="B165" s="3">
        <f t="shared" si="100"/>
        <v>67</v>
      </c>
      <c r="C165" s="4" t="str">
        <f t="shared" si="99"/>
        <v>01000011</v>
      </c>
      <c r="D165" s="2" t="str">
        <f t="shared" si="101"/>
        <v>43</v>
      </c>
      <c r="E165" s="65"/>
      <c r="F165" s="66"/>
      <c r="G165" s="66"/>
      <c r="H165" s="11">
        <f t="shared" si="102"/>
        <v>3</v>
      </c>
      <c r="I165" s="4" t="str">
        <f>TEXT(DEC2BIN(H165), "00000")</f>
        <v>00011</v>
      </c>
      <c r="J165" s="1" t="s">
        <v>157</v>
      </c>
      <c r="K165" s="65"/>
    </row>
    <row r="166" spans="1:11" x14ac:dyDescent="0.25">
      <c r="B166" s="3">
        <f>(B163)</f>
        <v>67</v>
      </c>
      <c r="C166" s="4" t="str">
        <f t="shared" si="99"/>
        <v>01000011</v>
      </c>
      <c r="D166" s="2" t="str">
        <f t="shared" si="101"/>
        <v>43</v>
      </c>
      <c r="H166" s="11">
        <f t="shared" si="102"/>
        <v>4</v>
      </c>
      <c r="I166" s="4" t="str">
        <f>TEXT(DEC2BIN(H166), "00000")</f>
        <v>00100</v>
      </c>
      <c r="J166" s="1" t="s">
        <v>236</v>
      </c>
      <c r="K166" s="1" t="s">
        <v>238</v>
      </c>
    </row>
    <row r="167" spans="1:11" s="50" customFormat="1" ht="15" customHeight="1" x14ac:dyDescent="0.25">
      <c r="A167" s="44"/>
      <c r="B167" s="45"/>
      <c r="C167" s="46"/>
      <c r="D167" s="47"/>
      <c r="E167" s="48"/>
      <c r="F167" s="49"/>
      <c r="G167" s="49"/>
      <c r="H167" s="11"/>
      <c r="I167" s="4"/>
      <c r="J167" s="1"/>
      <c r="K167" s="48"/>
    </row>
    <row r="168" spans="1:11" s="50" customFormat="1" ht="15" customHeight="1" x14ac:dyDescent="0.25">
      <c r="A168" s="44" t="s">
        <v>77</v>
      </c>
      <c r="B168" s="51">
        <v>68</v>
      </c>
      <c r="C168" s="4" t="str">
        <f t="shared" ref="C168:C172" si="103">TEXT(DEC2BIN(B168), "00000000")</f>
        <v>01000100</v>
      </c>
      <c r="D168" s="2" t="str">
        <f>DEC2HEX(B168)</f>
        <v>44</v>
      </c>
      <c r="E168" s="1" t="s">
        <v>134</v>
      </c>
      <c r="F168" s="55"/>
      <c r="G168" s="55"/>
      <c r="H168" s="11">
        <v>0</v>
      </c>
      <c r="I168" s="4" t="str">
        <f>TEXT(DEC2BIN(H168), "00000")</f>
        <v>00000</v>
      </c>
      <c r="J168" s="1" t="s">
        <v>14</v>
      </c>
      <c r="K168" s="54"/>
    </row>
    <row r="169" spans="1:11" s="50" customFormat="1" ht="15" customHeight="1" x14ac:dyDescent="0.25">
      <c r="A169" s="44"/>
      <c r="B169" s="3">
        <f t="shared" ref="B169:B171" si="104">(B168)</f>
        <v>68</v>
      </c>
      <c r="C169" s="4" t="str">
        <f t="shared" si="103"/>
        <v>01000100</v>
      </c>
      <c r="D169" s="2" t="str">
        <f t="shared" ref="D169:D172" si="105">DEC2HEX(B169)</f>
        <v>44</v>
      </c>
      <c r="E169" s="54"/>
      <c r="F169" s="55"/>
      <c r="G169" s="55"/>
      <c r="H169" s="11">
        <f t="shared" ref="H169:H172" si="106">H168+1</f>
        <v>1</v>
      </c>
      <c r="I169" s="4" t="str">
        <f>TEXT(DEC2BIN(H169), "00000")</f>
        <v>00001</v>
      </c>
      <c r="J169" s="1" t="s">
        <v>13</v>
      </c>
      <c r="K169" s="54"/>
    </row>
    <row r="170" spans="1:11" s="64" customFormat="1" ht="15" customHeight="1" x14ac:dyDescent="0.25">
      <c r="A170" s="60"/>
      <c r="B170" s="3">
        <f t="shared" si="104"/>
        <v>68</v>
      </c>
      <c r="C170" s="4" t="str">
        <f t="shared" si="103"/>
        <v>01000100</v>
      </c>
      <c r="D170" s="2" t="str">
        <f t="shared" si="105"/>
        <v>44</v>
      </c>
      <c r="E170" s="65"/>
      <c r="F170" s="66"/>
      <c r="G170" s="66"/>
      <c r="H170" s="11">
        <f t="shared" si="106"/>
        <v>2</v>
      </c>
      <c r="I170" s="4" t="str">
        <f>TEXT(DEC2BIN(H170), "00000")</f>
        <v>00010</v>
      </c>
      <c r="J170" s="1" t="s">
        <v>158</v>
      </c>
      <c r="K170" s="65"/>
    </row>
    <row r="171" spans="1:11" s="64" customFormat="1" ht="15" customHeight="1" x14ac:dyDescent="0.25">
      <c r="A171" s="60"/>
      <c r="B171" s="3">
        <f t="shared" si="104"/>
        <v>68</v>
      </c>
      <c r="C171" s="4" t="str">
        <f t="shared" si="103"/>
        <v>01000100</v>
      </c>
      <c r="D171" s="2" t="str">
        <f t="shared" si="105"/>
        <v>44</v>
      </c>
      <c r="E171" s="65"/>
      <c r="F171" s="66"/>
      <c r="G171" s="66"/>
      <c r="H171" s="11">
        <f t="shared" si="106"/>
        <v>3</v>
      </c>
      <c r="I171" s="4" t="str">
        <f>TEXT(DEC2BIN(H171), "00000")</f>
        <v>00011</v>
      </c>
      <c r="J171" s="1" t="s">
        <v>157</v>
      </c>
      <c r="K171" s="65"/>
    </row>
    <row r="172" spans="1:11" x14ac:dyDescent="0.25">
      <c r="B172" s="3">
        <f>(B169)</f>
        <v>68</v>
      </c>
      <c r="C172" s="4" t="str">
        <f t="shared" si="103"/>
        <v>01000100</v>
      </c>
      <c r="D172" s="2" t="str">
        <f t="shared" si="105"/>
        <v>44</v>
      </c>
      <c r="H172" s="11">
        <f t="shared" si="106"/>
        <v>4</v>
      </c>
      <c r="I172" s="4" t="str">
        <f>TEXT(DEC2BIN(H172), "00000")</f>
        <v>00100</v>
      </c>
      <c r="J172" s="1" t="s">
        <v>236</v>
      </c>
      <c r="K172" s="1" t="s">
        <v>238</v>
      </c>
    </row>
    <row r="173" spans="1:11" s="50" customFormat="1" ht="15" customHeight="1" x14ac:dyDescent="0.25">
      <c r="A173" s="44"/>
      <c r="B173" s="51"/>
      <c r="C173" s="52"/>
      <c r="D173" s="53"/>
      <c r="E173" s="54"/>
      <c r="F173" s="55"/>
      <c r="G173" s="55"/>
      <c r="H173" s="11"/>
      <c r="I173" s="4"/>
      <c r="J173" s="1"/>
      <c r="K173" s="54"/>
    </row>
    <row r="174" spans="1:11" s="50" customFormat="1" ht="15" customHeight="1" x14ac:dyDescent="0.25">
      <c r="A174" s="44" t="s">
        <v>78</v>
      </c>
      <c r="B174" s="45">
        <v>69</v>
      </c>
      <c r="C174" s="4" t="str">
        <f t="shared" ref="C174:C178" si="107">TEXT(DEC2BIN(B174), "00000000")</f>
        <v>01000101</v>
      </c>
      <c r="D174" s="2" t="str">
        <f>DEC2HEX(B174)</f>
        <v>45</v>
      </c>
      <c r="E174" s="1" t="s">
        <v>134</v>
      </c>
      <c r="F174" s="49"/>
      <c r="G174" s="49"/>
      <c r="H174" s="11">
        <v>0</v>
      </c>
      <c r="I174" s="4" t="str">
        <f>TEXT(DEC2BIN(H174), "00000")</f>
        <v>00000</v>
      </c>
      <c r="J174" s="1" t="s">
        <v>14</v>
      </c>
      <c r="K174" s="48"/>
    </row>
    <row r="175" spans="1:11" s="50" customFormat="1" ht="15" customHeight="1" x14ac:dyDescent="0.25">
      <c r="A175" s="44"/>
      <c r="B175" s="3">
        <f t="shared" ref="B175:B177" si="108">(B174)</f>
        <v>69</v>
      </c>
      <c r="C175" s="4" t="str">
        <f t="shared" si="107"/>
        <v>01000101</v>
      </c>
      <c r="D175" s="2" t="str">
        <f t="shared" ref="D175:D178" si="109">DEC2HEX(B175)</f>
        <v>45</v>
      </c>
      <c r="E175" s="48"/>
      <c r="F175" s="49"/>
      <c r="G175" s="49"/>
      <c r="H175" s="11">
        <f t="shared" ref="H175:H178" si="110">H174+1</f>
        <v>1</v>
      </c>
      <c r="I175" s="4" t="str">
        <f>TEXT(DEC2BIN(H175), "00000")</f>
        <v>00001</v>
      </c>
      <c r="J175" s="1" t="s">
        <v>13</v>
      </c>
      <c r="K175" s="48"/>
    </row>
    <row r="176" spans="1:11" s="64" customFormat="1" ht="15" customHeight="1" x14ac:dyDescent="0.25">
      <c r="A176" s="60"/>
      <c r="B176" s="3">
        <f t="shared" si="108"/>
        <v>69</v>
      </c>
      <c r="C176" s="4" t="str">
        <f t="shared" si="107"/>
        <v>01000101</v>
      </c>
      <c r="D176" s="2" t="str">
        <f t="shared" si="109"/>
        <v>45</v>
      </c>
      <c r="E176" s="65"/>
      <c r="F176" s="66"/>
      <c r="G176" s="66"/>
      <c r="H176" s="11">
        <f t="shared" si="110"/>
        <v>2</v>
      </c>
      <c r="I176" s="4" t="str">
        <f>TEXT(DEC2BIN(H176), "00000")</f>
        <v>00010</v>
      </c>
      <c r="J176" s="1" t="s">
        <v>158</v>
      </c>
      <c r="K176" s="65"/>
    </row>
    <row r="177" spans="1:11" s="64" customFormat="1" ht="15" customHeight="1" x14ac:dyDescent="0.25">
      <c r="A177" s="60"/>
      <c r="B177" s="3">
        <f t="shared" si="108"/>
        <v>69</v>
      </c>
      <c r="C177" s="4" t="str">
        <f t="shared" si="107"/>
        <v>01000101</v>
      </c>
      <c r="D177" s="2" t="str">
        <f t="shared" si="109"/>
        <v>45</v>
      </c>
      <c r="E177" s="65"/>
      <c r="F177" s="66"/>
      <c r="G177" s="66"/>
      <c r="H177" s="11">
        <f t="shared" si="110"/>
        <v>3</v>
      </c>
      <c r="I177" s="4" t="str">
        <f>TEXT(DEC2BIN(H177), "00000")</f>
        <v>00011</v>
      </c>
      <c r="J177" s="1" t="s">
        <v>157</v>
      </c>
      <c r="K177" s="65"/>
    </row>
    <row r="178" spans="1:11" x14ac:dyDescent="0.25">
      <c r="B178" s="3">
        <f>(B175)</f>
        <v>69</v>
      </c>
      <c r="C178" s="4" t="str">
        <f t="shared" si="107"/>
        <v>01000101</v>
      </c>
      <c r="D178" s="2" t="str">
        <f t="shared" si="109"/>
        <v>45</v>
      </c>
      <c r="H178" s="11">
        <f t="shared" si="110"/>
        <v>4</v>
      </c>
      <c r="I178" s="4" t="str">
        <f>TEXT(DEC2BIN(H178), "00000")</f>
        <v>00100</v>
      </c>
      <c r="J178" s="1" t="s">
        <v>236</v>
      </c>
      <c r="K178" s="1" t="s">
        <v>238</v>
      </c>
    </row>
    <row r="179" spans="1:11" s="50" customFormat="1" ht="15" customHeight="1" x14ac:dyDescent="0.25">
      <c r="A179" s="44"/>
      <c r="B179" s="45"/>
      <c r="C179" s="46"/>
      <c r="D179" s="47"/>
      <c r="E179" s="48"/>
      <c r="F179" s="49"/>
      <c r="G179" s="49"/>
      <c r="H179" s="11"/>
      <c r="I179" s="4"/>
      <c r="J179" s="1"/>
      <c r="K179" s="48"/>
    </row>
    <row r="180" spans="1:11" s="50" customFormat="1" ht="15" customHeight="1" x14ac:dyDescent="0.25">
      <c r="A180" s="44" t="s">
        <v>79</v>
      </c>
      <c r="B180" s="56">
        <v>70</v>
      </c>
      <c r="C180" s="4" t="str">
        <f t="shared" ref="C180:C184" si="111">TEXT(DEC2BIN(B180), "00000000")</f>
        <v>01000110</v>
      </c>
      <c r="D180" s="2" t="str">
        <f>DEC2HEX(B180)</f>
        <v>46</v>
      </c>
      <c r="E180" s="1" t="s">
        <v>134</v>
      </c>
      <c r="F180" s="59"/>
      <c r="G180" s="59"/>
      <c r="H180" s="11">
        <v>0</v>
      </c>
      <c r="I180" s="4" t="str">
        <f>TEXT(DEC2BIN(H180), "00000")</f>
        <v>00000</v>
      </c>
      <c r="J180" s="1" t="s">
        <v>14</v>
      </c>
      <c r="K180" s="57"/>
    </row>
    <row r="181" spans="1:11" s="50" customFormat="1" ht="15" customHeight="1" x14ac:dyDescent="0.25">
      <c r="A181" s="44"/>
      <c r="B181" s="3">
        <f>(B180)</f>
        <v>70</v>
      </c>
      <c r="C181" s="4" t="str">
        <f t="shared" si="111"/>
        <v>01000110</v>
      </c>
      <c r="D181" s="2" t="str">
        <f t="shared" ref="D181:D184" si="112">DEC2HEX(B181)</f>
        <v>46</v>
      </c>
      <c r="E181" s="57"/>
      <c r="F181" s="59"/>
      <c r="G181" s="59"/>
      <c r="H181" s="11">
        <f>H180+1</f>
        <v>1</v>
      </c>
      <c r="I181" s="4" t="str">
        <f>TEXT(DEC2BIN(H181), "00000")</f>
        <v>00001</v>
      </c>
      <c r="J181" s="1" t="s">
        <v>13</v>
      </c>
      <c r="K181" s="57"/>
    </row>
    <row r="182" spans="1:11" s="64" customFormat="1" ht="15" customHeight="1" x14ac:dyDescent="0.25">
      <c r="A182" s="60"/>
      <c r="B182" s="3">
        <f t="shared" ref="B182:B183" si="113">(B181)</f>
        <v>70</v>
      </c>
      <c r="C182" s="4" t="str">
        <f t="shared" si="111"/>
        <v>01000110</v>
      </c>
      <c r="D182" s="2" t="str">
        <f t="shared" si="112"/>
        <v>46</v>
      </c>
      <c r="E182" s="65"/>
      <c r="F182" s="66"/>
      <c r="G182" s="66"/>
      <c r="H182" s="11">
        <f t="shared" ref="H182:H184" si="114">H181+1</f>
        <v>2</v>
      </c>
      <c r="I182" s="4" t="str">
        <f>TEXT(DEC2BIN(H182), "00000")</f>
        <v>00010</v>
      </c>
      <c r="J182" s="1" t="s">
        <v>158</v>
      </c>
      <c r="K182" s="65"/>
    </row>
    <row r="183" spans="1:11" s="64" customFormat="1" ht="15" customHeight="1" x14ac:dyDescent="0.25">
      <c r="A183" s="60"/>
      <c r="B183" s="3">
        <f t="shared" si="113"/>
        <v>70</v>
      </c>
      <c r="C183" s="4" t="str">
        <f t="shared" si="111"/>
        <v>01000110</v>
      </c>
      <c r="D183" s="2" t="str">
        <f t="shared" si="112"/>
        <v>46</v>
      </c>
      <c r="E183" s="65"/>
      <c r="F183" s="66"/>
      <c r="G183" s="66"/>
      <c r="H183" s="11">
        <f t="shared" si="114"/>
        <v>3</v>
      </c>
      <c r="I183" s="4" t="str">
        <f>TEXT(DEC2BIN(H183), "00000")</f>
        <v>00011</v>
      </c>
      <c r="J183" s="1" t="s">
        <v>157</v>
      </c>
      <c r="K183" s="65"/>
    </row>
    <row r="184" spans="1:11" x14ac:dyDescent="0.25">
      <c r="B184" s="3">
        <f t="shared" ref="B184" si="115">(B181)</f>
        <v>70</v>
      </c>
      <c r="C184" s="4" t="str">
        <f t="shared" si="111"/>
        <v>01000110</v>
      </c>
      <c r="D184" s="2" t="str">
        <f t="shared" si="112"/>
        <v>46</v>
      </c>
      <c r="H184" s="11">
        <f t="shared" si="114"/>
        <v>4</v>
      </c>
      <c r="I184" s="4" t="str">
        <f>TEXT(DEC2BIN(H184), "00000")</f>
        <v>00100</v>
      </c>
      <c r="J184" s="1" t="s">
        <v>236</v>
      </c>
      <c r="K184" s="1" t="s">
        <v>238</v>
      </c>
    </row>
    <row r="185" spans="1:11" s="50" customFormat="1" ht="15" customHeight="1" x14ac:dyDescent="0.25">
      <c r="A185" s="44"/>
      <c r="B185" s="56"/>
      <c r="C185" s="57"/>
      <c r="D185" s="58"/>
      <c r="E185" s="57"/>
      <c r="F185" s="59"/>
      <c r="G185" s="59"/>
      <c r="H185" s="11"/>
      <c r="I185" s="4"/>
      <c r="J185" s="1"/>
      <c r="K185" s="57"/>
    </row>
    <row r="186" spans="1:11" s="64" customFormat="1" ht="15" customHeight="1" x14ac:dyDescent="0.25">
      <c r="A186" s="60" t="s">
        <v>80</v>
      </c>
      <c r="B186" s="56">
        <v>71</v>
      </c>
      <c r="C186" s="4" t="str">
        <f t="shared" ref="C186:C190" si="116">TEXT(DEC2BIN(B186), "00000000")</f>
        <v>01000111</v>
      </c>
      <c r="D186" s="2" t="str">
        <f>DEC2HEX(B186)</f>
        <v>47</v>
      </c>
      <c r="E186" s="1" t="s">
        <v>134</v>
      </c>
      <c r="F186" s="63"/>
      <c r="G186" s="63"/>
      <c r="H186" s="11">
        <v>0</v>
      </c>
      <c r="I186" s="4" t="str">
        <f>TEXT(DEC2BIN(H186), "00000")</f>
        <v>00000</v>
      </c>
      <c r="J186" s="1" t="s">
        <v>14</v>
      </c>
      <c r="K186" s="62"/>
    </row>
    <row r="187" spans="1:11" s="64" customFormat="1" ht="15" customHeight="1" x14ac:dyDescent="0.25">
      <c r="A187" s="60"/>
      <c r="B187" s="3">
        <f t="shared" ref="B187:B189" si="117">(B186)</f>
        <v>71</v>
      </c>
      <c r="C187" s="4" t="str">
        <f t="shared" si="116"/>
        <v>01000111</v>
      </c>
      <c r="D187" s="2" t="str">
        <f t="shared" ref="D187:D190" si="118">DEC2HEX(B187)</f>
        <v>47</v>
      </c>
      <c r="E187" s="62"/>
      <c r="F187" s="63"/>
      <c r="G187" s="63"/>
      <c r="H187" s="11">
        <f t="shared" ref="H187:H190" si="119">H186+1</f>
        <v>1</v>
      </c>
      <c r="I187" s="4" t="str">
        <f>TEXT(DEC2BIN(H187), "00000")</f>
        <v>00001</v>
      </c>
      <c r="J187" s="1" t="s">
        <v>13</v>
      </c>
      <c r="K187" s="62"/>
    </row>
    <row r="188" spans="1:11" s="64" customFormat="1" ht="15" customHeight="1" x14ac:dyDescent="0.25">
      <c r="A188" s="60"/>
      <c r="B188" s="3">
        <f t="shared" si="117"/>
        <v>71</v>
      </c>
      <c r="C188" s="4" t="str">
        <f t="shared" si="116"/>
        <v>01000111</v>
      </c>
      <c r="D188" s="2" t="str">
        <f t="shared" si="118"/>
        <v>47</v>
      </c>
      <c r="E188" s="65"/>
      <c r="F188" s="66"/>
      <c r="G188" s="66"/>
      <c r="H188" s="11">
        <f t="shared" si="119"/>
        <v>2</v>
      </c>
      <c r="I188" s="4" t="str">
        <f>TEXT(DEC2BIN(H188), "00000")</f>
        <v>00010</v>
      </c>
      <c r="J188" s="1" t="s">
        <v>158</v>
      </c>
      <c r="K188" s="65"/>
    </row>
    <row r="189" spans="1:11" s="64" customFormat="1" ht="15" customHeight="1" x14ac:dyDescent="0.25">
      <c r="A189" s="60"/>
      <c r="B189" s="3">
        <f t="shared" si="117"/>
        <v>71</v>
      </c>
      <c r="C189" s="4" t="str">
        <f t="shared" si="116"/>
        <v>01000111</v>
      </c>
      <c r="D189" s="2" t="str">
        <f t="shared" si="118"/>
        <v>47</v>
      </c>
      <c r="E189" s="65"/>
      <c r="F189" s="66"/>
      <c r="G189" s="66"/>
      <c r="H189" s="11">
        <f t="shared" si="119"/>
        <v>3</v>
      </c>
      <c r="I189" s="4" t="str">
        <f>TEXT(DEC2BIN(H189), "00000")</f>
        <v>00011</v>
      </c>
      <c r="J189" s="1" t="s">
        <v>157</v>
      </c>
      <c r="K189" s="65"/>
    </row>
    <row r="190" spans="1:11" x14ac:dyDescent="0.25">
      <c r="B190" s="3">
        <f>(B187)</f>
        <v>71</v>
      </c>
      <c r="C190" s="4" t="str">
        <f t="shared" si="116"/>
        <v>01000111</v>
      </c>
      <c r="D190" s="2" t="str">
        <f t="shared" si="118"/>
        <v>47</v>
      </c>
      <c r="H190" s="11">
        <f t="shared" si="119"/>
        <v>4</v>
      </c>
      <c r="I190" s="4" t="str">
        <f>TEXT(DEC2BIN(H190), "00000")</f>
        <v>00100</v>
      </c>
      <c r="J190" s="1" t="s">
        <v>236</v>
      </c>
      <c r="K190" s="1" t="s">
        <v>238</v>
      </c>
    </row>
    <row r="191" spans="1:11" s="64" customFormat="1" ht="15" customHeight="1" x14ac:dyDescent="0.25">
      <c r="A191" s="60"/>
      <c r="B191" s="56"/>
      <c r="C191" s="60"/>
      <c r="D191" s="61"/>
      <c r="E191" s="62"/>
      <c r="F191" s="63"/>
      <c r="G191" s="63"/>
      <c r="H191" s="11"/>
      <c r="I191" s="4"/>
      <c r="J191" s="1"/>
      <c r="K191" s="62"/>
    </row>
    <row r="192" spans="1:11" s="77" customFormat="1" x14ac:dyDescent="0.25">
      <c r="A192" s="77" t="s">
        <v>54</v>
      </c>
      <c r="B192" s="78">
        <v>80</v>
      </c>
      <c r="C192" s="79" t="str">
        <f t="shared" ref="C192:C197" si="120">TEXT(DEC2BIN(B192), "00000000")</f>
        <v>01010000</v>
      </c>
      <c r="D192" s="80" t="str">
        <f t="shared" ref="D192:D197" si="121">DEC2HEX(B192)</f>
        <v>50</v>
      </c>
      <c r="E192" s="81" t="s">
        <v>108</v>
      </c>
      <c r="F192" s="82"/>
      <c r="G192" s="82"/>
      <c r="H192" s="81">
        <v>0</v>
      </c>
      <c r="I192" s="79" t="str">
        <f t="shared" ref="I192:I197" si="122">TEXT(DEC2BIN(H192), "00000")</f>
        <v>00000</v>
      </c>
      <c r="J192" s="81" t="s">
        <v>14</v>
      </c>
      <c r="K192" s="81" t="s">
        <v>18</v>
      </c>
    </row>
    <row r="193" spans="1:11" x14ac:dyDescent="0.25">
      <c r="B193" s="3">
        <f t="shared" ref="B193:B197" si="123">(B192)</f>
        <v>80</v>
      </c>
      <c r="C193" s="4" t="str">
        <f t="shared" si="120"/>
        <v>01010000</v>
      </c>
      <c r="D193" s="2" t="str">
        <f t="shared" si="121"/>
        <v>50</v>
      </c>
      <c r="E193" s="1"/>
      <c r="F193" s="12"/>
      <c r="G193" s="12"/>
      <c r="H193" s="1">
        <f>H192+1</f>
        <v>1</v>
      </c>
      <c r="I193" s="4" t="str">
        <f t="shared" si="122"/>
        <v>00001</v>
      </c>
      <c r="J193" s="1" t="s">
        <v>13</v>
      </c>
      <c r="K193" s="1"/>
    </row>
    <row r="194" spans="1:11" x14ac:dyDescent="0.25">
      <c r="B194" s="3">
        <f t="shared" si="123"/>
        <v>80</v>
      </c>
      <c r="C194" s="4" t="str">
        <f t="shared" si="120"/>
        <v>01010000</v>
      </c>
      <c r="D194" s="2" t="str">
        <f t="shared" si="121"/>
        <v>50</v>
      </c>
      <c r="E194" s="1"/>
      <c r="F194" s="12"/>
      <c r="G194" s="12"/>
      <c r="H194" s="11">
        <f>H193+1</f>
        <v>2</v>
      </c>
      <c r="I194" s="4" t="str">
        <f t="shared" si="122"/>
        <v>00010</v>
      </c>
      <c r="J194" s="11" t="s">
        <v>15</v>
      </c>
      <c r="K194" s="1"/>
    </row>
    <row r="195" spans="1:11" x14ac:dyDescent="0.25">
      <c r="B195" s="3">
        <f t="shared" si="123"/>
        <v>80</v>
      </c>
      <c r="C195" s="4" t="str">
        <f t="shared" si="120"/>
        <v>01010000</v>
      </c>
      <c r="D195" s="2" t="str">
        <f t="shared" si="121"/>
        <v>50</v>
      </c>
      <c r="E195" s="1"/>
      <c r="F195" s="12"/>
      <c r="G195" s="12"/>
      <c r="H195" s="11">
        <f>H194+1</f>
        <v>3</v>
      </c>
      <c r="I195" s="4" t="str">
        <f t="shared" si="122"/>
        <v>00011</v>
      </c>
      <c r="J195" s="1" t="s">
        <v>109</v>
      </c>
      <c r="K195" s="1"/>
    </row>
    <row r="196" spans="1:11" x14ac:dyDescent="0.25">
      <c r="B196" s="3">
        <f t="shared" si="123"/>
        <v>80</v>
      </c>
      <c r="C196" s="4" t="str">
        <f t="shared" si="120"/>
        <v>01010000</v>
      </c>
      <c r="D196" s="2" t="str">
        <f t="shared" si="121"/>
        <v>50</v>
      </c>
      <c r="E196" s="1"/>
      <c r="F196" s="12"/>
      <c r="G196" s="12"/>
      <c r="H196" s="11">
        <f>H195+1</f>
        <v>4</v>
      </c>
      <c r="I196" s="4" t="str">
        <f t="shared" si="122"/>
        <v>00100</v>
      </c>
      <c r="J196" s="1" t="s">
        <v>127</v>
      </c>
      <c r="K196" s="1"/>
    </row>
    <row r="197" spans="1:11" x14ac:dyDescent="0.25">
      <c r="B197" s="3">
        <f t="shared" si="123"/>
        <v>80</v>
      </c>
      <c r="C197" s="4" t="str">
        <f t="shared" si="120"/>
        <v>01010000</v>
      </c>
      <c r="D197" s="2" t="str">
        <f t="shared" si="121"/>
        <v>50</v>
      </c>
      <c r="E197" s="1"/>
      <c r="F197" s="12"/>
      <c r="G197" s="12"/>
      <c r="H197" s="11">
        <f>H196+1</f>
        <v>5</v>
      </c>
      <c r="I197" s="4" t="str">
        <f t="shared" si="122"/>
        <v>00101</v>
      </c>
      <c r="J197" s="1" t="s">
        <v>236</v>
      </c>
      <c r="K197" s="1" t="s">
        <v>238</v>
      </c>
    </row>
    <row r="198" spans="1:11" x14ac:dyDescent="0.25">
      <c r="B198" s="3"/>
      <c r="C198" s="4"/>
      <c r="E198" s="1"/>
      <c r="F198" s="12"/>
      <c r="G198" s="12"/>
      <c r="H198" s="1"/>
      <c r="I198" s="4"/>
      <c r="J198" s="1"/>
      <c r="K198" s="1"/>
    </row>
    <row r="199" spans="1:11" x14ac:dyDescent="0.25">
      <c r="A199" t="s">
        <v>55</v>
      </c>
      <c r="B199" s="3">
        <v>81</v>
      </c>
      <c r="C199" s="4" t="str">
        <f t="shared" ref="C199:C200" si="124">TEXT(DEC2BIN(B199), "00000000")</f>
        <v>01010001</v>
      </c>
      <c r="D199" s="2" t="str">
        <f>DEC2HEX(B199)</f>
        <v>51</v>
      </c>
      <c r="E199" s="1" t="s">
        <v>126</v>
      </c>
      <c r="F199" s="12"/>
      <c r="G199" s="12"/>
      <c r="H199" s="11">
        <v>0</v>
      </c>
      <c r="I199" s="4" t="str">
        <f t="shared" ref="I199:I220" si="125">TEXT(DEC2BIN(H199), "00000")</f>
        <v>00000</v>
      </c>
      <c r="J199" s="1" t="s">
        <v>14</v>
      </c>
      <c r="K199" s="1" t="s">
        <v>18</v>
      </c>
    </row>
    <row r="200" spans="1:11" x14ac:dyDescent="0.25">
      <c r="B200" s="3">
        <f>B199</f>
        <v>81</v>
      </c>
      <c r="C200" s="4" t="str">
        <f t="shared" si="124"/>
        <v>01010001</v>
      </c>
      <c r="D200" s="2" t="str">
        <f t="shared" ref="D200" si="126">DEC2HEX(B200)</f>
        <v>51</v>
      </c>
      <c r="E200" s="1"/>
      <c r="F200" s="12"/>
      <c r="G200" s="12"/>
      <c r="H200" s="11">
        <f t="shared" ref="H200:H209" si="127">H199+1</f>
        <v>1</v>
      </c>
      <c r="I200" s="4" t="str">
        <f t="shared" si="125"/>
        <v>00001</v>
      </c>
      <c r="J200" s="1" t="s">
        <v>13</v>
      </c>
      <c r="K200" s="1"/>
    </row>
    <row r="201" spans="1:11" x14ac:dyDescent="0.25">
      <c r="B201" s="3">
        <f t="shared" ref="B201:B209" si="128">B200</f>
        <v>81</v>
      </c>
      <c r="C201" s="4" t="str">
        <f t="shared" ref="C201:C220" si="129">TEXT(DEC2BIN(B201), "00000000")</f>
        <v>01010001</v>
      </c>
      <c r="D201" s="2" t="str">
        <f t="shared" ref="D201:D220" si="130">DEC2HEX(B201)</f>
        <v>51</v>
      </c>
      <c r="E201" s="1"/>
      <c r="F201" s="12"/>
      <c r="G201" s="12"/>
      <c r="H201" s="11">
        <f t="shared" si="127"/>
        <v>2</v>
      </c>
      <c r="I201" s="4" t="str">
        <f t="shared" si="125"/>
        <v>00010</v>
      </c>
      <c r="J201" s="11" t="s">
        <v>15</v>
      </c>
      <c r="K201" s="1"/>
    </row>
    <row r="202" spans="1:11" x14ac:dyDescent="0.25">
      <c r="B202" s="3">
        <f t="shared" si="128"/>
        <v>81</v>
      </c>
      <c r="C202" s="4" t="str">
        <f t="shared" si="129"/>
        <v>01010001</v>
      </c>
      <c r="D202" s="2" t="str">
        <f t="shared" si="130"/>
        <v>51</v>
      </c>
      <c r="E202" s="1"/>
      <c r="F202" s="12"/>
      <c r="G202" s="12"/>
      <c r="H202" s="11">
        <f t="shared" si="127"/>
        <v>3</v>
      </c>
      <c r="I202" s="4" t="str">
        <f t="shared" si="125"/>
        <v>00011</v>
      </c>
      <c r="J202" s="1" t="s">
        <v>42</v>
      </c>
      <c r="K202" s="1"/>
    </row>
    <row r="203" spans="1:11" x14ac:dyDescent="0.25">
      <c r="B203" s="3">
        <f t="shared" si="128"/>
        <v>81</v>
      </c>
      <c r="C203" s="4" t="str">
        <f t="shared" si="129"/>
        <v>01010001</v>
      </c>
      <c r="D203" s="2" t="str">
        <f t="shared" si="130"/>
        <v>51</v>
      </c>
      <c r="E203" s="1"/>
      <c r="F203" s="12"/>
      <c r="G203" s="12"/>
      <c r="H203" s="11">
        <f t="shared" si="127"/>
        <v>4</v>
      </c>
      <c r="I203" s="4" t="str">
        <f t="shared" si="125"/>
        <v>00100</v>
      </c>
      <c r="J203" s="1" t="s">
        <v>43</v>
      </c>
      <c r="K203" s="1"/>
    </row>
    <row r="204" spans="1:11" x14ac:dyDescent="0.25">
      <c r="B204" s="3">
        <f t="shared" si="128"/>
        <v>81</v>
      </c>
      <c r="C204" s="4" t="str">
        <f t="shared" si="129"/>
        <v>01010001</v>
      </c>
      <c r="D204" s="2" t="str">
        <f t="shared" si="130"/>
        <v>51</v>
      </c>
      <c r="E204" s="1"/>
      <c r="F204" s="12"/>
      <c r="G204" s="12"/>
      <c r="H204" s="11">
        <f t="shared" si="127"/>
        <v>5</v>
      </c>
      <c r="I204" s="4" t="str">
        <f t="shared" si="125"/>
        <v>00101</v>
      </c>
      <c r="J204" s="11" t="s">
        <v>15</v>
      </c>
      <c r="K204" s="1"/>
    </row>
    <row r="205" spans="1:11" x14ac:dyDescent="0.25">
      <c r="B205" s="3">
        <f t="shared" si="128"/>
        <v>81</v>
      </c>
      <c r="C205" s="4" t="str">
        <f t="shared" si="129"/>
        <v>01010001</v>
      </c>
      <c r="D205" s="2" t="str">
        <f t="shared" si="130"/>
        <v>51</v>
      </c>
      <c r="E205" s="1"/>
      <c r="F205" s="12"/>
      <c r="G205" s="12"/>
      <c r="H205" s="11">
        <f t="shared" si="127"/>
        <v>6</v>
      </c>
      <c r="I205" s="4" t="str">
        <f t="shared" si="125"/>
        <v>00110</v>
      </c>
      <c r="J205" s="1" t="s">
        <v>44</v>
      </c>
      <c r="K205" s="1"/>
    </row>
    <row r="206" spans="1:11" x14ac:dyDescent="0.25">
      <c r="B206" s="3">
        <f t="shared" si="128"/>
        <v>81</v>
      </c>
      <c r="C206" s="4" t="str">
        <f t="shared" si="129"/>
        <v>01010001</v>
      </c>
      <c r="D206" s="2" t="str">
        <f t="shared" si="130"/>
        <v>51</v>
      </c>
      <c r="E206" s="1"/>
      <c r="F206" s="12"/>
      <c r="G206" s="12"/>
      <c r="H206" s="11">
        <f t="shared" si="127"/>
        <v>7</v>
      </c>
      <c r="I206" s="4" t="str">
        <f t="shared" si="125"/>
        <v>00111</v>
      </c>
      <c r="J206" s="1" t="s">
        <v>53</v>
      </c>
      <c r="K206" s="1"/>
    </row>
    <row r="207" spans="1:11" x14ac:dyDescent="0.25">
      <c r="B207" s="3">
        <f t="shared" si="128"/>
        <v>81</v>
      </c>
      <c r="C207" s="4" t="str">
        <f t="shared" si="129"/>
        <v>01010001</v>
      </c>
      <c r="D207" s="2" t="str">
        <f t="shared" si="130"/>
        <v>51</v>
      </c>
      <c r="E207" s="1"/>
      <c r="F207" s="12"/>
      <c r="G207" s="12"/>
      <c r="H207" s="11">
        <f t="shared" si="127"/>
        <v>8</v>
      </c>
      <c r="I207" s="4" t="str">
        <f t="shared" si="125"/>
        <v>01000</v>
      </c>
      <c r="J207" s="11" t="s">
        <v>100</v>
      </c>
      <c r="K207" s="1"/>
    </row>
    <row r="208" spans="1:11" x14ac:dyDescent="0.25">
      <c r="B208" s="3">
        <f t="shared" si="128"/>
        <v>81</v>
      </c>
      <c r="C208" s="4" t="str">
        <f t="shared" si="129"/>
        <v>01010001</v>
      </c>
      <c r="D208" s="2" t="str">
        <f t="shared" si="130"/>
        <v>51</v>
      </c>
      <c r="E208" s="1"/>
      <c r="F208" s="12"/>
      <c r="G208" s="12"/>
      <c r="H208" s="11">
        <f t="shared" si="127"/>
        <v>9</v>
      </c>
      <c r="I208" s="4" t="str">
        <f t="shared" si="125"/>
        <v>01001</v>
      </c>
      <c r="J208" s="11" t="s">
        <v>110</v>
      </c>
      <c r="K208" s="1"/>
    </row>
    <row r="209" spans="1:11" x14ac:dyDescent="0.25">
      <c r="B209" s="3">
        <f t="shared" si="128"/>
        <v>81</v>
      </c>
      <c r="C209" s="4" t="str">
        <f t="shared" si="129"/>
        <v>01010001</v>
      </c>
      <c r="D209" s="2" t="str">
        <f t="shared" si="130"/>
        <v>51</v>
      </c>
      <c r="E209" s="1"/>
      <c r="F209" s="12"/>
      <c r="G209" s="12"/>
      <c r="H209" s="11">
        <f t="shared" si="127"/>
        <v>10</v>
      </c>
      <c r="I209" s="4" t="str">
        <f t="shared" si="125"/>
        <v>01010</v>
      </c>
      <c r="J209" s="1" t="s">
        <v>236</v>
      </c>
      <c r="K209" s="1" t="s">
        <v>238</v>
      </c>
    </row>
    <row r="210" spans="1:11" x14ac:dyDescent="0.25">
      <c r="B210" s="3"/>
      <c r="C210" s="4"/>
      <c r="E210" s="1"/>
      <c r="F210" s="12"/>
      <c r="G210" s="12"/>
      <c r="H210" s="11"/>
      <c r="I210" s="4"/>
      <c r="J210" s="1"/>
      <c r="K210" s="1"/>
    </row>
    <row r="211" spans="1:11" x14ac:dyDescent="0.25">
      <c r="A211" t="s">
        <v>56</v>
      </c>
      <c r="B211" s="3">
        <v>82</v>
      </c>
      <c r="C211" s="4" t="str">
        <f t="shared" si="129"/>
        <v>01010010</v>
      </c>
      <c r="D211" s="2" t="str">
        <f t="shared" si="130"/>
        <v>52</v>
      </c>
      <c r="E211" s="1" t="s">
        <v>125</v>
      </c>
      <c r="F211" s="12"/>
      <c r="G211" s="12"/>
      <c r="H211" s="11">
        <v>0</v>
      </c>
      <c r="I211" s="4" t="str">
        <f t="shared" si="125"/>
        <v>00000</v>
      </c>
      <c r="J211" s="1" t="s">
        <v>14</v>
      </c>
      <c r="K211" s="1" t="s">
        <v>18</v>
      </c>
    </row>
    <row r="212" spans="1:11" x14ac:dyDescent="0.25">
      <c r="B212" s="3">
        <f t="shared" ref="B212:B220" si="131">(B211)</f>
        <v>82</v>
      </c>
      <c r="C212" s="4" t="str">
        <f t="shared" si="129"/>
        <v>01010010</v>
      </c>
      <c r="D212" s="2" t="str">
        <f t="shared" si="130"/>
        <v>52</v>
      </c>
      <c r="E212" s="1"/>
      <c r="F212" s="12"/>
      <c r="G212" s="12"/>
      <c r="H212" s="11">
        <f t="shared" ref="H212:H220" si="132">H211+1</f>
        <v>1</v>
      </c>
      <c r="I212" s="4" t="str">
        <f t="shared" si="125"/>
        <v>00001</v>
      </c>
      <c r="J212" s="1" t="s">
        <v>13</v>
      </c>
      <c r="K212" s="1"/>
    </row>
    <row r="213" spans="1:11" x14ac:dyDescent="0.25">
      <c r="B213" s="3">
        <f t="shared" si="131"/>
        <v>82</v>
      </c>
      <c r="C213" s="4" t="str">
        <f t="shared" si="129"/>
        <v>01010010</v>
      </c>
      <c r="D213" s="2" t="str">
        <f t="shared" si="130"/>
        <v>52</v>
      </c>
      <c r="E213" s="1"/>
      <c r="F213" s="12"/>
      <c r="G213" s="12"/>
      <c r="H213" s="11">
        <f t="shared" si="132"/>
        <v>2</v>
      </c>
      <c r="I213" s="4" t="str">
        <f t="shared" si="125"/>
        <v>00010</v>
      </c>
      <c r="J213" s="11" t="s">
        <v>15</v>
      </c>
      <c r="K213" s="11" t="s">
        <v>21</v>
      </c>
    </row>
    <row r="214" spans="1:11" x14ac:dyDescent="0.25">
      <c r="B214" s="3">
        <f t="shared" si="131"/>
        <v>82</v>
      </c>
      <c r="C214" s="4" t="str">
        <f t="shared" si="129"/>
        <v>01010010</v>
      </c>
      <c r="D214" s="2" t="str">
        <f t="shared" si="130"/>
        <v>52</v>
      </c>
      <c r="E214" s="1"/>
      <c r="F214" s="12"/>
      <c r="G214" s="12"/>
      <c r="H214" s="11">
        <f t="shared" si="132"/>
        <v>3</v>
      </c>
      <c r="I214" s="4" t="str">
        <f t="shared" si="125"/>
        <v>00011</v>
      </c>
      <c r="J214" s="1" t="s">
        <v>42</v>
      </c>
      <c r="K214" s="11" t="s">
        <v>203</v>
      </c>
    </row>
    <row r="215" spans="1:11" x14ac:dyDescent="0.25">
      <c r="B215" s="3">
        <f t="shared" si="131"/>
        <v>82</v>
      </c>
      <c r="C215" s="4" t="str">
        <f t="shared" si="129"/>
        <v>01010010</v>
      </c>
      <c r="D215" s="2" t="str">
        <f t="shared" si="130"/>
        <v>52</v>
      </c>
      <c r="E215" s="1"/>
      <c r="F215" s="12"/>
      <c r="G215" s="12"/>
      <c r="H215" s="11">
        <f t="shared" si="132"/>
        <v>4</v>
      </c>
      <c r="I215" s="4" t="str">
        <f t="shared" si="125"/>
        <v>00100</v>
      </c>
      <c r="J215" s="1" t="s">
        <v>43</v>
      </c>
      <c r="K215" s="1"/>
    </row>
    <row r="216" spans="1:11" x14ac:dyDescent="0.25">
      <c r="B216" s="3">
        <f t="shared" si="131"/>
        <v>82</v>
      </c>
      <c r="C216" s="4" t="str">
        <f t="shared" si="129"/>
        <v>01010010</v>
      </c>
      <c r="D216" s="2" t="str">
        <f t="shared" si="130"/>
        <v>52</v>
      </c>
      <c r="E216" s="1"/>
      <c r="F216" s="12"/>
      <c r="G216" s="12"/>
      <c r="H216" s="11">
        <f t="shared" si="132"/>
        <v>5</v>
      </c>
      <c r="I216" s="4" t="str">
        <f t="shared" si="125"/>
        <v>00101</v>
      </c>
      <c r="J216" s="11" t="s">
        <v>15</v>
      </c>
      <c r="K216" s="11" t="s">
        <v>21</v>
      </c>
    </row>
    <row r="217" spans="1:11" x14ac:dyDescent="0.25">
      <c r="B217" s="3">
        <f t="shared" si="131"/>
        <v>82</v>
      </c>
      <c r="C217" s="4" t="str">
        <f t="shared" si="129"/>
        <v>01010010</v>
      </c>
      <c r="D217" s="2" t="str">
        <f t="shared" si="130"/>
        <v>52</v>
      </c>
      <c r="E217" s="1"/>
      <c r="F217" s="12"/>
      <c r="G217" s="12"/>
      <c r="H217" s="11">
        <f t="shared" si="132"/>
        <v>6</v>
      </c>
      <c r="I217" s="4" t="str">
        <f t="shared" si="125"/>
        <v>00110</v>
      </c>
      <c r="J217" s="1" t="s">
        <v>44</v>
      </c>
      <c r="K217" s="11" t="s">
        <v>204</v>
      </c>
    </row>
    <row r="218" spans="1:11" x14ac:dyDescent="0.25">
      <c r="B218" s="3">
        <f t="shared" si="131"/>
        <v>82</v>
      </c>
      <c r="C218" s="4" t="str">
        <f t="shared" si="129"/>
        <v>01010010</v>
      </c>
      <c r="D218" s="2" t="str">
        <f t="shared" si="130"/>
        <v>52</v>
      </c>
      <c r="E218" s="1"/>
      <c r="F218" s="12"/>
      <c r="G218" s="12"/>
      <c r="H218" s="11">
        <f t="shared" si="132"/>
        <v>7</v>
      </c>
      <c r="I218" s="4" t="str">
        <f t="shared" si="125"/>
        <v>00111</v>
      </c>
      <c r="J218" s="1" t="s">
        <v>53</v>
      </c>
      <c r="K218" s="11"/>
    </row>
    <row r="219" spans="1:11" x14ac:dyDescent="0.25">
      <c r="B219" s="3">
        <f t="shared" si="131"/>
        <v>82</v>
      </c>
      <c r="C219" s="4" t="str">
        <f t="shared" si="129"/>
        <v>01010010</v>
      </c>
      <c r="D219" s="2" t="str">
        <f t="shared" si="130"/>
        <v>52</v>
      </c>
      <c r="H219" s="11">
        <f t="shared" si="132"/>
        <v>8</v>
      </c>
      <c r="I219" s="4" t="str">
        <f t="shared" si="125"/>
        <v>01000</v>
      </c>
      <c r="J219" s="11" t="s">
        <v>99</v>
      </c>
      <c r="K219" s="11" t="s">
        <v>49</v>
      </c>
    </row>
    <row r="220" spans="1:11" x14ac:dyDescent="0.25">
      <c r="B220" s="3">
        <f t="shared" si="131"/>
        <v>82</v>
      </c>
      <c r="C220" s="4" t="str">
        <f t="shared" si="129"/>
        <v>01010010</v>
      </c>
      <c r="D220" s="2" t="str">
        <f t="shared" si="130"/>
        <v>52</v>
      </c>
      <c r="H220" s="11">
        <f t="shared" si="132"/>
        <v>9</v>
      </c>
      <c r="I220" s="4" t="str">
        <f t="shared" si="125"/>
        <v>01001</v>
      </c>
      <c r="J220" s="1" t="s">
        <v>236</v>
      </c>
      <c r="K220" s="1" t="s">
        <v>238</v>
      </c>
    </row>
    <row r="221" spans="1:11" x14ac:dyDescent="0.25">
      <c r="B221" s="3"/>
      <c r="C221" s="4"/>
      <c r="H221" s="11"/>
      <c r="I221" s="4"/>
      <c r="J221" s="1"/>
      <c r="K221" s="1"/>
    </row>
    <row r="222" spans="1:11" s="64" customFormat="1" ht="15" customHeight="1" x14ac:dyDescent="0.25">
      <c r="A222" s="60" t="s">
        <v>81</v>
      </c>
      <c r="B222" s="56">
        <v>83</v>
      </c>
      <c r="C222" s="4" t="str">
        <f t="shared" ref="C222:C226" si="133">TEXT(DEC2BIN(B222), "00000000")</f>
        <v>01010011</v>
      </c>
      <c r="D222" s="2" t="str">
        <f>DEC2HEX(B222)</f>
        <v>53</v>
      </c>
      <c r="E222" s="1" t="s">
        <v>132</v>
      </c>
      <c r="F222" s="66"/>
      <c r="G222" s="66"/>
      <c r="H222" s="11">
        <v>0</v>
      </c>
      <c r="I222" s="4" t="str">
        <f>TEXT(DEC2BIN(H222), "00000")</f>
        <v>00000</v>
      </c>
      <c r="J222" s="1" t="s">
        <v>14</v>
      </c>
      <c r="K222" s="1" t="s">
        <v>18</v>
      </c>
    </row>
    <row r="223" spans="1:11" s="64" customFormat="1" ht="15" customHeight="1" x14ac:dyDescent="0.25">
      <c r="A223" s="60"/>
      <c r="B223" s="3">
        <f t="shared" ref="B223:B226" si="134">(B222)</f>
        <v>83</v>
      </c>
      <c r="C223" s="4" t="str">
        <f t="shared" si="133"/>
        <v>01010011</v>
      </c>
      <c r="D223" s="2" t="str">
        <f t="shared" ref="D223:D226" si="135">DEC2HEX(B223)</f>
        <v>53</v>
      </c>
      <c r="E223" s="65"/>
      <c r="F223" s="66"/>
      <c r="G223" s="66"/>
      <c r="H223" s="11">
        <f t="shared" ref="H223:H226" si="136">H222+1</f>
        <v>1</v>
      </c>
      <c r="I223" s="4" t="str">
        <f>TEXT(DEC2BIN(H223), "00000")</f>
        <v>00001</v>
      </c>
      <c r="J223" s="1" t="s">
        <v>13</v>
      </c>
      <c r="K223" s="65"/>
    </row>
    <row r="224" spans="1:11" s="64" customFormat="1" ht="15" customHeight="1" x14ac:dyDescent="0.25">
      <c r="A224" s="60"/>
      <c r="B224" s="3">
        <f t="shared" si="134"/>
        <v>83</v>
      </c>
      <c r="C224" s="4" t="str">
        <f t="shared" si="133"/>
        <v>01010011</v>
      </c>
      <c r="D224" s="2" t="str">
        <f t="shared" si="135"/>
        <v>53</v>
      </c>
      <c r="E224" s="65"/>
      <c r="F224" s="66"/>
      <c r="G224" s="66"/>
      <c r="H224" s="11">
        <f t="shared" si="136"/>
        <v>2</v>
      </c>
      <c r="I224" s="4" t="str">
        <f>TEXT(DEC2BIN(H224), "00000")</f>
        <v>00010</v>
      </c>
      <c r="J224" s="1" t="s">
        <v>128</v>
      </c>
      <c r="K224" s="65"/>
    </row>
    <row r="225" spans="1:11" s="64" customFormat="1" ht="15" customHeight="1" x14ac:dyDescent="0.25">
      <c r="A225" s="60"/>
      <c r="B225" s="3">
        <f t="shared" si="134"/>
        <v>83</v>
      </c>
      <c r="C225" s="4" t="str">
        <f t="shared" si="133"/>
        <v>01010011</v>
      </c>
      <c r="D225" s="2" t="str">
        <f t="shared" si="135"/>
        <v>53</v>
      </c>
      <c r="E225" s="65"/>
      <c r="F225" s="66"/>
      <c r="G225" s="66"/>
      <c r="H225" s="11">
        <f t="shared" si="136"/>
        <v>3</v>
      </c>
      <c r="I225" s="4" t="str">
        <f>TEXT(DEC2BIN(H225), "00000")</f>
        <v>00011</v>
      </c>
      <c r="J225" s="1" t="s">
        <v>129</v>
      </c>
      <c r="K225" s="65"/>
    </row>
    <row r="226" spans="1:11" x14ac:dyDescent="0.25">
      <c r="B226" s="3">
        <f t="shared" si="134"/>
        <v>83</v>
      </c>
      <c r="C226" s="4" t="str">
        <f t="shared" si="133"/>
        <v>01010011</v>
      </c>
      <c r="D226" s="2" t="str">
        <f t="shared" si="135"/>
        <v>53</v>
      </c>
      <c r="H226" s="11">
        <f t="shared" si="136"/>
        <v>4</v>
      </c>
      <c r="I226" s="4" t="str">
        <f>TEXT(DEC2BIN(H226), "00000")</f>
        <v>00100</v>
      </c>
      <c r="J226" s="1" t="s">
        <v>236</v>
      </c>
      <c r="K226" s="1" t="s">
        <v>238</v>
      </c>
    </row>
    <row r="227" spans="1:11" s="64" customFormat="1" ht="15" customHeight="1" x14ac:dyDescent="0.25">
      <c r="A227" s="60"/>
      <c r="B227" s="56"/>
      <c r="C227" s="60"/>
      <c r="D227" s="61"/>
      <c r="E227" s="65"/>
      <c r="F227" s="66"/>
      <c r="G227" s="66"/>
      <c r="H227" s="11"/>
      <c r="I227" s="4"/>
      <c r="J227" s="1"/>
      <c r="K227" s="65"/>
    </row>
    <row r="228" spans="1:11" s="64" customFormat="1" ht="15" customHeight="1" x14ac:dyDescent="0.25">
      <c r="A228" s="60" t="s">
        <v>82</v>
      </c>
      <c r="B228" s="56">
        <v>84</v>
      </c>
      <c r="C228" s="4" t="str">
        <f t="shared" ref="C228:C232" si="137">TEXT(DEC2BIN(B228), "00000000")</f>
        <v>01010100</v>
      </c>
      <c r="D228" s="2" t="str">
        <f>DEC2HEX(B228)</f>
        <v>54</v>
      </c>
      <c r="E228" s="1" t="s">
        <v>133</v>
      </c>
      <c r="F228" s="68"/>
      <c r="G228" s="68"/>
      <c r="H228" s="11">
        <v>0</v>
      </c>
      <c r="I228" s="4" t="str">
        <f>TEXT(DEC2BIN(H228), "00000")</f>
        <v>00000</v>
      </c>
      <c r="J228" s="1" t="s">
        <v>14</v>
      </c>
      <c r="K228" s="1" t="s">
        <v>18</v>
      </c>
    </row>
    <row r="229" spans="1:11" s="64" customFormat="1" ht="15" customHeight="1" x14ac:dyDescent="0.25">
      <c r="A229" s="60"/>
      <c r="B229" s="3">
        <f t="shared" ref="B229:B231" si="138">(B228)</f>
        <v>84</v>
      </c>
      <c r="C229" s="4" t="str">
        <f t="shared" si="137"/>
        <v>01010100</v>
      </c>
      <c r="D229" s="2" t="str">
        <f t="shared" ref="D229:D232" si="139">DEC2HEX(B229)</f>
        <v>54</v>
      </c>
      <c r="E229" s="67"/>
      <c r="F229" s="68"/>
      <c r="G229" s="68"/>
      <c r="H229" s="11">
        <f t="shared" ref="H229:H232" si="140">H228+1</f>
        <v>1</v>
      </c>
      <c r="I229" s="4" t="str">
        <f>TEXT(DEC2BIN(H229), "00000")</f>
        <v>00001</v>
      </c>
      <c r="J229" s="1" t="s">
        <v>13</v>
      </c>
      <c r="K229" s="67"/>
    </row>
    <row r="230" spans="1:11" s="64" customFormat="1" ht="15" customHeight="1" x14ac:dyDescent="0.25">
      <c r="A230" s="60"/>
      <c r="B230" s="3">
        <f t="shared" si="138"/>
        <v>84</v>
      </c>
      <c r="C230" s="4" t="str">
        <f t="shared" si="137"/>
        <v>01010100</v>
      </c>
      <c r="D230" s="2" t="str">
        <f t="shared" si="139"/>
        <v>54</v>
      </c>
      <c r="E230" s="65"/>
      <c r="F230" s="66"/>
      <c r="G230" s="66"/>
      <c r="H230" s="11">
        <f t="shared" si="140"/>
        <v>2</v>
      </c>
      <c r="I230" s="4" t="str">
        <f>TEXT(DEC2BIN(H230), "00000")</f>
        <v>00010</v>
      </c>
      <c r="J230" s="1" t="s">
        <v>130</v>
      </c>
      <c r="K230" s="65"/>
    </row>
    <row r="231" spans="1:11" s="64" customFormat="1" ht="15" customHeight="1" x14ac:dyDescent="0.25">
      <c r="A231" s="60"/>
      <c r="B231" s="3">
        <f t="shared" si="138"/>
        <v>84</v>
      </c>
      <c r="C231" s="4" t="str">
        <f t="shared" si="137"/>
        <v>01010100</v>
      </c>
      <c r="D231" s="2" t="str">
        <f t="shared" si="139"/>
        <v>54</v>
      </c>
      <c r="E231" s="65"/>
      <c r="F231" s="66"/>
      <c r="G231" s="66"/>
      <c r="H231" s="11">
        <f t="shared" si="140"/>
        <v>3</v>
      </c>
      <c r="I231" s="4" t="str">
        <f>TEXT(DEC2BIN(H231), "00000")</f>
        <v>00011</v>
      </c>
      <c r="J231" s="1" t="s">
        <v>131</v>
      </c>
      <c r="K231" s="65"/>
    </row>
    <row r="232" spans="1:11" x14ac:dyDescent="0.25">
      <c r="B232" s="3">
        <f>(B229)</f>
        <v>84</v>
      </c>
      <c r="C232" s="4" t="str">
        <f t="shared" si="137"/>
        <v>01010100</v>
      </c>
      <c r="D232" s="2" t="str">
        <f t="shared" si="139"/>
        <v>54</v>
      </c>
      <c r="H232" s="11">
        <f t="shared" si="140"/>
        <v>4</v>
      </c>
      <c r="I232" s="4" t="str">
        <f>TEXT(DEC2BIN(H232), "00000")</f>
        <v>00100</v>
      </c>
      <c r="J232" s="1" t="s">
        <v>236</v>
      </c>
      <c r="K232" s="1" t="s">
        <v>238</v>
      </c>
    </row>
    <row r="233" spans="1:11" s="64" customFormat="1" ht="15" customHeight="1" x14ac:dyDescent="0.25">
      <c r="A233" s="60"/>
      <c r="B233" s="56"/>
      <c r="C233" s="60"/>
      <c r="D233" s="61"/>
      <c r="E233" s="67"/>
      <c r="F233" s="68"/>
      <c r="G233" s="68"/>
      <c r="H233" s="11"/>
      <c r="I233" s="4"/>
      <c r="J233" s="1"/>
      <c r="K233" s="67"/>
    </row>
    <row r="234" spans="1:11" s="64" customFormat="1" ht="15" customHeight="1" x14ac:dyDescent="0.25">
      <c r="A234" s="64" t="s">
        <v>83</v>
      </c>
      <c r="B234" s="69">
        <v>85</v>
      </c>
      <c r="C234" s="4" t="str">
        <f t="shared" ref="C234:C238" si="141">TEXT(DEC2BIN(B234), "00000000")</f>
        <v>01010101</v>
      </c>
      <c r="D234" s="2" t="str">
        <f>DEC2HEX(B234)</f>
        <v>55</v>
      </c>
      <c r="E234" s="1" t="s">
        <v>134</v>
      </c>
      <c r="F234" s="71"/>
      <c r="G234" s="71"/>
      <c r="H234" s="11">
        <v>0</v>
      </c>
      <c r="I234" s="4" t="str">
        <f>TEXT(DEC2BIN(H234), "00000")</f>
        <v>00000</v>
      </c>
      <c r="J234" s="1" t="s">
        <v>14</v>
      </c>
      <c r="K234" s="1" t="s">
        <v>18</v>
      </c>
    </row>
    <row r="235" spans="1:11" s="64" customFormat="1" ht="15" customHeight="1" x14ac:dyDescent="0.25">
      <c r="B235" s="3">
        <f t="shared" ref="B235:B237" si="142">(B234)</f>
        <v>85</v>
      </c>
      <c r="C235" s="4" t="str">
        <f t="shared" si="141"/>
        <v>01010101</v>
      </c>
      <c r="D235" s="2" t="str">
        <f t="shared" ref="D235:D238" si="143">DEC2HEX(B235)</f>
        <v>55</v>
      </c>
      <c r="E235" s="50"/>
      <c r="F235" s="71"/>
      <c r="G235" s="71"/>
      <c r="H235" s="11">
        <f t="shared" ref="H235:H238" si="144">H234+1</f>
        <v>1</v>
      </c>
      <c r="I235" s="4" t="str">
        <f>TEXT(DEC2BIN(H235), "00000")</f>
        <v>00001</v>
      </c>
      <c r="J235" s="1" t="s">
        <v>13</v>
      </c>
      <c r="K235" s="50"/>
    </row>
    <row r="236" spans="1:11" s="64" customFormat="1" ht="15" customHeight="1" x14ac:dyDescent="0.25">
      <c r="A236" s="60"/>
      <c r="B236" s="3">
        <f t="shared" si="142"/>
        <v>85</v>
      </c>
      <c r="C236" s="4" t="str">
        <f t="shared" si="141"/>
        <v>01010101</v>
      </c>
      <c r="D236" s="2" t="str">
        <f t="shared" si="143"/>
        <v>55</v>
      </c>
      <c r="E236" s="65"/>
      <c r="F236" s="66"/>
      <c r="G236" s="66"/>
      <c r="H236" s="11">
        <f t="shared" si="144"/>
        <v>2</v>
      </c>
      <c r="I236" s="4" t="str">
        <f>TEXT(DEC2BIN(H236), "00000")</f>
        <v>00010</v>
      </c>
      <c r="J236" s="1" t="s">
        <v>135</v>
      </c>
      <c r="K236" s="65"/>
    </row>
    <row r="237" spans="1:11" s="64" customFormat="1" ht="15" customHeight="1" x14ac:dyDescent="0.25">
      <c r="A237" s="60"/>
      <c r="B237" s="3">
        <f t="shared" si="142"/>
        <v>85</v>
      </c>
      <c r="C237" s="4" t="str">
        <f t="shared" si="141"/>
        <v>01010101</v>
      </c>
      <c r="D237" s="2" t="str">
        <f t="shared" si="143"/>
        <v>55</v>
      </c>
      <c r="E237" s="65"/>
      <c r="F237" s="66"/>
      <c r="G237" s="66"/>
      <c r="H237" s="11">
        <f t="shared" si="144"/>
        <v>3</v>
      </c>
      <c r="I237" s="4" t="str">
        <f>TEXT(DEC2BIN(H237), "00000")</f>
        <v>00011</v>
      </c>
      <c r="J237" s="1" t="s">
        <v>136</v>
      </c>
      <c r="K237" s="65"/>
    </row>
    <row r="238" spans="1:11" x14ac:dyDescent="0.25">
      <c r="B238" s="3">
        <f>(B235)</f>
        <v>85</v>
      </c>
      <c r="C238" s="4" t="str">
        <f t="shared" si="141"/>
        <v>01010101</v>
      </c>
      <c r="D238" s="2" t="str">
        <f t="shared" si="143"/>
        <v>55</v>
      </c>
      <c r="H238" s="11">
        <f t="shared" si="144"/>
        <v>4</v>
      </c>
      <c r="I238" s="4" t="str">
        <f>TEXT(DEC2BIN(H238), "00000")</f>
        <v>00100</v>
      </c>
      <c r="J238" s="1" t="s">
        <v>236</v>
      </c>
      <c r="K238" s="1" t="s">
        <v>238</v>
      </c>
    </row>
    <row r="239" spans="1:11" s="64" customFormat="1" ht="15" customHeight="1" x14ac:dyDescent="0.25">
      <c r="B239" s="69"/>
      <c r="D239" s="70"/>
      <c r="E239" s="50"/>
      <c r="F239" s="71"/>
      <c r="G239" s="71"/>
      <c r="H239" s="11"/>
      <c r="I239" s="4"/>
      <c r="J239" s="1"/>
      <c r="K239" s="50"/>
    </row>
    <row r="240" spans="1:11" s="64" customFormat="1" ht="15" customHeight="1" x14ac:dyDescent="0.25">
      <c r="A240" s="64" t="s">
        <v>84</v>
      </c>
      <c r="B240" s="69">
        <v>86</v>
      </c>
      <c r="C240" s="4" t="str">
        <f t="shared" ref="C240:C244" si="145">TEXT(DEC2BIN(B240), "00000000")</f>
        <v>01010110</v>
      </c>
      <c r="D240" s="2" t="str">
        <f>DEC2HEX(B240)</f>
        <v>56</v>
      </c>
      <c r="E240" s="1" t="s">
        <v>137</v>
      </c>
      <c r="F240" s="71"/>
      <c r="G240" s="71"/>
      <c r="H240" s="11">
        <v>0</v>
      </c>
      <c r="I240" s="4" t="str">
        <f>TEXT(DEC2BIN(H240), "00000")</f>
        <v>00000</v>
      </c>
      <c r="J240" s="1" t="s">
        <v>14</v>
      </c>
      <c r="K240" s="50"/>
    </row>
    <row r="241" spans="1:11" s="64" customFormat="1" ht="15" customHeight="1" x14ac:dyDescent="0.25">
      <c r="B241" s="3">
        <f t="shared" ref="B241:B243" si="146">(B240)</f>
        <v>86</v>
      </c>
      <c r="C241" s="4" t="str">
        <f t="shared" si="145"/>
        <v>01010110</v>
      </c>
      <c r="D241" s="2" t="str">
        <f t="shared" ref="D241:D244" si="147">DEC2HEX(B241)</f>
        <v>56</v>
      </c>
      <c r="E241" s="50"/>
      <c r="F241" s="71"/>
      <c r="G241" s="71"/>
      <c r="H241" s="11">
        <f t="shared" ref="H241:H244" si="148">H240+1</f>
        <v>1</v>
      </c>
      <c r="I241" s="4" t="str">
        <f>TEXT(DEC2BIN(H241), "00000")</f>
        <v>00001</v>
      </c>
      <c r="J241" s="1" t="s">
        <v>13</v>
      </c>
      <c r="K241" s="50"/>
    </row>
    <row r="242" spans="1:11" s="64" customFormat="1" ht="15" customHeight="1" x14ac:dyDescent="0.25">
      <c r="A242" s="60"/>
      <c r="B242" s="3">
        <f t="shared" si="146"/>
        <v>86</v>
      </c>
      <c r="C242" s="4" t="str">
        <f t="shared" si="145"/>
        <v>01010110</v>
      </c>
      <c r="D242" s="2" t="str">
        <f t="shared" si="147"/>
        <v>56</v>
      </c>
      <c r="E242" s="65"/>
      <c r="F242" s="66"/>
      <c r="G242" s="66"/>
      <c r="H242" s="11">
        <f t="shared" si="148"/>
        <v>2</v>
      </c>
      <c r="I242" s="4" t="str">
        <f>TEXT(DEC2BIN(H242), "00000")</f>
        <v>00010</v>
      </c>
      <c r="J242" s="1" t="s">
        <v>139</v>
      </c>
      <c r="K242" s="65"/>
    </row>
    <row r="243" spans="1:11" s="64" customFormat="1" ht="15" customHeight="1" x14ac:dyDescent="0.25">
      <c r="A243" s="60"/>
      <c r="B243" s="3">
        <f t="shared" si="146"/>
        <v>86</v>
      </c>
      <c r="C243" s="4" t="str">
        <f t="shared" si="145"/>
        <v>01010110</v>
      </c>
      <c r="D243" s="2" t="str">
        <f t="shared" si="147"/>
        <v>56</v>
      </c>
      <c r="E243" s="65"/>
      <c r="F243" s="66"/>
      <c r="G243" s="66"/>
      <c r="H243" s="11">
        <f t="shared" si="148"/>
        <v>3</v>
      </c>
      <c r="I243" s="4" t="str">
        <f>TEXT(DEC2BIN(H243), "00000")</f>
        <v>00011</v>
      </c>
      <c r="J243" s="1" t="s">
        <v>140</v>
      </c>
      <c r="K243" s="65"/>
    </row>
    <row r="244" spans="1:11" x14ac:dyDescent="0.25">
      <c r="B244" s="3">
        <f>(B241)</f>
        <v>86</v>
      </c>
      <c r="C244" s="4" t="str">
        <f t="shared" si="145"/>
        <v>01010110</v>
      </c>
      <c r="D244" s="2" t="str">
        <f t="shared" si="147"/>
        <v>56</v>
      </c>
      <c r="H244" s="11">
        <f t="shared" si="148"/>
        <v>4</v>
      </c>
      <c r="I244" s="4" t="str">
        <f>TEXT(DEC2BIN(H244), "00000")</f>
        <v>00100</v>
      </c>
      <c r="J244" s="1" t="s">
        <v>236</v>
      </c>
      <c r="K244" s="1" t="s">
        <v>238</v>
      </c>
    </row>
    <row r="245" spans="1:11" s="64" customFormat="1" ht="15" customHeight="1" x14ac:dyDescent="0.25">
      <c r="B245" s="69"/>
      <c r="D245" s="70"/>
      <c r="E245" s="50"/>
      <c r="F245" s="71"/>
      <c r="G245" s="71"/>
      <c r="H245" s="11"/>
      <c r="I245" s="4"/>
      <c r="J245" s="1"/>
      <c r="K245" s="50"/>
    </row>
    <row r="246" spans="1:11" s="50" customFormat="1" ht="15" customHeight="1" x14ac:dyDescent="0.25">
      <c r="A246" s="64" t="s">
        <v>85</v>
      </c>
      <c r="B246" s="69">
        <v>87</v>
      </c>
      <c r="C246" s="4" t="str">
        <f t="shared" ref="C246:C250" si="149">TEXT(DEC2BIN(B246), "00000000")</f>
        <v>01010111</v>
      </c>
      <c r="D246" s="2" t="str">
        <f>DEC2HEX(B246)</f>
        <v>57</v>
      </c>
      <c r="E246" s="1" t="s">
        <v>138</v>
      </c>
      <c r="F246" s="74"/>
      <c r="G246" s="74"/>
      <c r="H246" s="11">
        <v>0</v>
      </c>
      <c r="I246" s="4" t="str">
        <f>TEXT(DEC2BIN(H246), "00000")</f>
        <v>00000</v>
      </c>
      <c r="J246" s="1" t="s">
        <v>14</v>
      </c>
      <c r="K246" s="73"/>
    </row>
    <row r="247" spans="1:11" s="50" customFormat="1" ht="15" customHeight="1" x14ac:dyDescent="0.25">
      <c r="A247" s="64"/>
      <c r="B247" s="3">
        <f t="shared" ref="B247:B249" si="150">(B246)</f>
        <v>87</v>
      </c>
      <c r="C247" s="4" t="str">
        <f t="shared" si="149"/>
        <v>01010111</v>
      </c>
      <c r="D247" s="2" t="str">
        <f t="shared" ref="D247:D250" si="151">DEC2HEX(B247)</f>
        <v>57</v>
      </c>
      <c r="E247" s="73"/>
      <c r="F247" s="74"/>
      <c r="G247" s="74"/>
      <c r="H247" s="11">
        <f t="shared" ref="H247:H250" si="152">H246+1</f>
        <v>1</v>
      </c>
      <c r="I247" s="4" t="str">
        <f>TEXT(DEC2BIN(H247), "00000")</f>
        <v>00001</v>
      </c>
      <c r="J247" s="1" t="s">
        <v>13</v>
      </c>
      <c r="K247" s="73"/>
    </row>
    <row r="248" spans="1:11" s="64" customFormat="1" ht="15" customHeight="1" x14ac:dyDescent="0.25">
      <c r="A248" s="60"/>
      <c r="B248" s="3">
        <f t="shared" si="150"/>
        <v>87</v>
      </c>
      <c r="C248" s="4" t="str">
        <f t="shared" si="149"/>
        <v>01010111</v>
      </c>
      <c r="D248" s="2" t="str">
        <f t="shared" si="151"/>
        <v>57</v>
      </c>
      <c r="E248" s="65"/>
      <c r="F248" s="66"/>
      <c r="G248" s="66"/>
      <c r="H248" s="11">
        <f t="shared" si="152"/>
        <v>2</v>
      </c>
      <c r="I248" s="4" t="str">
        <f>TEXT(DEC2BIN(H248), "00000")</f>
        <v>00010</v>
      </c>
      <c r="J248" s="1" t="s">
        <v>141</v>
      </c>
      <c r="K248" s="65"/>
    </row>
    <row r="249" spans="1:11" s="64" customFormat="1" ht="15" customHeight="1" x14ac:dyDescent="0.25">
      <c r="A249" s="60"/>
      <c r="B249" s="3">
        <f t="shared" si="150"/>
        <v>87</v>
      </c>
      <c r="C249" s="4" t="str">
        <f t="shared" si="149"/>
        <v>01010111</v>
      </c>
      <c r="D249" s="2" t="str">
        <f t="shared" si="151"/>
        <v>57</v>
      </c>
      <c r="E249" s="65"/>
      <c r="F249" s="66"/>
      <c r="G249" s="66"/>
      <c r="H249" s="11">
        <f t="shared" si="152"/>
        <v>3</v>
      </c>
      <c r="I249" s="4" t="str">
        <f>TEXT(DEC2BIN(H249), "00000")</f>
        <v>00011</v>
      </c>
      <c r="J249" s="1" t="s">
        <v>142</v>
      </c>
      <c r="K249" s="65"/>
    </row>
    <row r="250" spans="1:11" x14ac:dyDescent="0.25">
      <c r="B250" s="3">
        <f>(B247)</f>
        <v>87</v>
      </c>
      <c r="C250" s="4" t="str">
        <f t="shared" si="149"/>
        <v>01010111</v>
      </c>
      <c r="D250" s="2" t="str">
        <f t="shared" si="151"/>
        <v>57</v>
      </c>
      <c r="H250" s="11">
        <f t="shared" si="152"/>
        <v>4</v>
      </c>
      <c r="I250" s="4" t="str">
        <f>TEXT(DEC2BIN(H250), "00000")</f>
        <v>00100</v>
      </c>
      <c r="J250" s="1" t="s">
        <v>236</v>
      </c>
      <c r="K250" s="1" t="s">
        <v>238</v>
      </c>
    </row>
    <row r="251" spans="1:11" x14ac:dyDescent="0.25">
      <c r="B251" s="3"/>
      <c r="C251" s="4"/>
      <c r="E251" s="1"/>
      <c r="F251" s="12"/>
      <c r="G251" s="12"/>
      <c r="H251" s="11"/>
      <c r="I251" s="4"/>
      <c r="J251" s="1"/>
      <c r="K251" s="1"/>
    </row>
    <row r="252" spans="1:11" s="77" customFormat="1" x14ac:dyDescent="0.25">
      <c r="A252" s="77" t="s">
        <v>57</v>
      </c>
      <c r="B252" s="78">
        <v>96</v>
      </c>
      <c r="C252" s="79" t="str">
        <f t="shared" ref="C252:C257" si="153">TEXT(DEC2BIN(B252), "00000000")</f>
        <v>01100000</v>
      </c>
      <c r="D252" s="80" t="str">
        <f t="shared" ref="D252:D257" si="154">DEC2HEX(B252)</f>
        <v>60</v>
      </c>
      <c r="E252" s="81" t="s">
        <v>107</v>
      </c>
      <c r="F252" s="82"/>
      <c r="G252" s="82"/>
      <c r="H252" s="81">
        <v>0</v>
      </c>
      <c r="I252" s="79" t="str">
        <f t="shared" ref="I252:I257" si="155">TEXT(DEC2BIN(H252), "00000")</f>
        <v>00000</v>
      </c>
      <c r="J252" s="81" t="s">
        <v>14</v>
      </c>
      <c r="K252" s="81" t="s">
        <v>18</v>
      </c>
    </row>
    <row r="253" spans="1:11" x14ac:dyDescent="0.25">
      <c r="B253" s="3">
        <f t="shared" ref="B253:B257" si="156">(B252)</f>
        <v>96</v>
      </c>
      <c r="C253" s="4" t="str">
        <f t="shared" si="153"/>
        <v>01100000</v>
      </c>
      <c r="D253" s="2" t="str">
        <f t="shared" si="154"/>
        <v>60</v>
      </c>
      <c r="E253" s="1"/>
      <c r="F253" s="12"/>
      <c r="G253" s="12"/>
      <c r="H253" s="1">
        <f>H252+1</f>
        <v>1</v>
      </c>
      <c r="I253" s="4" t="str">
        <f t="shared" si="155"/>
        <v>00001</v>
      </c>
      <c r="J253" s="1" t="s">
        <v>13</v>
      </c>
      <c r="K253" s="1"/>
    </row>
    <row r="254" spans="1:11" x14ac:dyDescent="0.25">
      <c r="B254" s="3">
        <f t="shared" si="156"/>
        <v>96</v>
      </c>
      <c r="C254" s="4" t="str">
        <f t="shared" si="153"/>
        <v>01100000</v>
      </c>
      <c r="D254" s="2" t="str">
        <f t="shared" si="154"/>
        <v>60</v>
      </c>
      <c r="E254" s="1"/>
      <c r="F254" s="12"/>
      <c r="G254" s="12"/>
      <c r="H254" s="11">
        <f>H253+1</f>
        <v>2</v>
      </c>
      <c r="I254" s="4" t="str">
        <f t="shared" si="155"/>
        <v>00010</v>
      </c>
      <c r="J254" s="11" t="s">
        <v>15</v>
      </c>
      <c r="K254" s="1"/>
    </row>
    <row r="255" spans="1:11" x14ac:dyDescent="0.25">
      <c r="B255" s="3">
        <f t="shared" si="156"/>
        <v>96</v>
      </c>
      <c r="C255" s="4" t="str">
        <f t="shared" si="153"/>
        <v>01100000</v>
      </c>
      <c r="D255" s="2" t="str">
        <f t="shared" si="154"/>
        <v>60</v>
      </c>
      <c r="E255" s="1"/>
      <c r="F255" s="12"/>
      <c r="G255" s="12"/>
      <c r="H255" s="11">
        <f>H254+1</f>
        <v>3</v>
      </c>
      <c r="I255" s="4" t="str">
        <f t="shared" si="155"/>
        <v>00011</v>
      </c>
      <c r="J255" s="1" t="s">
        <v>95</v>
      </c>
      <c r="K255" s="1"/>
    </row>
    <row r="256" spans="1:11" x14ac:dyDescent="0.25">
      <c r="B256" s="3">
        <f t="shared" si="156"/>
        <v>96</v>
      </c>
      <c r="C256" s="4" t="str">
        <f t="shared" si="153"/>
        <v>01100000</v>
      </c>
      <c r="D256" s="2" t="str">
        <f t="shared" si="154"/>
        <v>60</v>
      </c>
      <c r="E256" s="1"/>
      <c r="F256" s="12"/>
      <c r="G256" s="12"/>
      <c r="H256" s="11">
        <f>H255+1</f>
        <v>4</v>
      </c>
      <c r="I256" s="4" t="str">
        <f t="shared" si="155"/>
        <v>00100</v>
      </c>
      <c r="J256" s="1" t="s">
        <v>96</v>
      </c>
      <c r="K256" s="1"/>
    </row>
    <row r="257" spans="1:11" x14ac:dyDescent="0.25">
      <c r="B257" s="3">
        <f t="shared" si="156"/>
        <v>96</v>
      </c>
      <c r="C257" s="4" t="str">
        <f t="shared" si="153"/>
        <v>01100000</v>
      </c>
      <c r="D257" s="2" t="str">
        <f t="shared" si="154"/>
        <v>60</v>
      </c>
      <c r="E257" s="1"/>
      <c r="F257" s="12"/>
      <c r="G257" s="12"/>
      <c r="H257" s="11">
        <f>H256+1</f>
        <v>5</v>
      </c>
      <c r="I257" s="4" t="str">
        <f t="shared" si="155"/>
        <v>00101</v>
      </c>
      <c r="J257" s="1" t="s">
        <v>236</v>
      </c>
      <c r="K257" s="1" t="s">
        <v>238</v>
      </c>
    </row>
    <row r="258" spans="1:11" x14ac:dyDescent="0.25">
      <c r="B258" s="3"/>
      <c r="C258" s="4"/>
      <c r="E258" s="1"/>
      <c r="F258" s="12"/>
      <c r="G258" s="12"/>
      <c r="H258" s="1"/>
      <c r="I258" s="4"/>
      <c r="J258" s="1"/>
      <c r="K258" s="1"/>
    </row>
    <row r="259" spans="1:11" x14ac:dyDescent="0.25">
      <c r="A259" t="s">
        <v>58</v>
      </c>
      <c r="B259" s="3">
        <v>97</v>
      </c>
      <c r="C259" s="4" t="str">
        <f t="shared" ref="C259:C269" si="157">TEXT(DEC2BIN(B259), "00000000")</f>
        <v>01100001</v>
      </c>
      <c r="D259" s="2" t="str">
        <f>DEC2HEX(B259)</f>
        <v>61</v>
      </c>
      <c r="E259" s="1" t="s">
        <v>106</v>
      </c>
      <c r="F259" s="12"/>
      <c r="G259" s="12"/>
      <c r="H259" s="11">
        <v>0</v>
      </c>
      <c r="I259" s="4" t="str">
        <f t="shared" ref="I259:I269" si="158">TEXT(DEC2BIN(H259), "00000")</f>
        <v>00000</v>
      </c>
      <c r="J259" s="1" t="s">
        <v>14</v>
      </c>
      <c r="K259" s="1" t="s">
        <v>18</v>
      </c>
    </row>
    <row r="260" spans="1:11" x14ac:dyDescent="0.25">
      <c r="B260" s="3">
        <f>B259</f>
        <v>97</v>
      </c>
      <c r="C260" s="4" t="str">
        <f t="shared" si="157"/>
        <v>01100001</v>
      </c>
      <c r="D260" s="2" t="str">
        <f t="shared" ref="D260:D269" si="159">DEC2HEX(B260)</f>
        <v>61</v>
      </c>
      <c r="E260" s="1"/>
      <c r="F260" s="12"/>
      <c r="G260" s="12"/>
      <c r="H260" s="11">
        <f t="shared" ref="H260:H269" si="160">H259+1</f>
        <v>1</v>
      </c>
      <c r="I260" s="4" t="str">
        <f t="shared" si="158"/>
        <v>00001</v>
      </c>
      <c r="J260" s="1" t="s">
        <v>13</v>
      </c>
      <c r="K260" s="1"/>
    </row>
    <row r="261" spans="1:11" x14ac:dyDescent="0.25">
      <c r="B261" s="3">
        <f t="shared" ref="B261:B269" si="161">B260</f>
        <v>97</v>
      </c>
      <c r="C261" s="4" t="str">
        <f t="shared" si="157"/>
        <v>01100001</v>
      </c>
      <c r="D261" s="2" t="str">
        <f t="shared" si="159"/>
        <v>61</v>
      </c>
      <c r="E261" s="1"/>
      <c r="F261" s="12"/>
      <c r="G261" s="12"/>
      <c r="H261" s="11">
        <f t="shared" si="160"/>
        <v>2</v>
      </c>
      <c r="I261" s="4" t="str">
        <f t="shared" si="158"/>
        <v>00010</v>
      </c>
      <c r="J261" s="11" t="s">
        <v>15</v>
      </c>
      <c r="K261" s="1"/>
    </row>
    <row r="262" spans="1:11" x14ac:dyDescent="0.25">
      <c r="B262" s="3">
        <f t="shared" si="161"/>
        <v>97</v>
      </c>
      <c r="C262" s="4" t="str">
        <f t="shared" si="157"/>
        <v>01100001</v>
      </c>
      <c r="D262" s="2" t="str">
        <f t="shared" si="159"/>
        <v>61</v>
      </c>
      <c r="E262" s="1"/>
      <c r="F262" s="12"/>
      <c r="G262" s="12"/>
      <c r="H262" s="11">
        <f t="shared" si="160"/>
        <v>3</v>
      </c>
      <c r="I262" s="4" t="str">
        <f t="shared" si="158"/>
        <v>00011</v>
      </c>
      <c r="J262" s="1" t="s">
        <v>42</v>
      </c>
      <c r="K262" s="1"/>
    </row>
    <row r="263" spans="1:11" x14ac:dyDescent="0.25">
      <c r="B263" s="3">
        <f t="shared" si="161"/>
        <v>97</v>
      </c>
      <c r="C263" s="4" t="str">
        <f t="shared" si="157"/>
        <v>01100001</v>
      </c>
      <c r="D263" s="2" t="str">
        <f t="shared" si="159"/>
        <v>61</v>
      </c>
      <c r="E263" s="1"/>
      <c r="F263" s="12"/>
      <c r="G263" s="12"/>
      <c r="H263" s="11">
        <f t="shared" si="160"/>
        <v>4</v>
      </c>
      <c r="I263" s="4" t="str">
        <f t="shared" si="158"/>
        <v>00100</v>
      </c>
      <c r="J263" s="1" t="s">
        <v>43</v>
      </c>
      <c r="K263" s="1"/>
    </row>
    <row r="264" spans="1:11" x14ac:dyDescent="0.25">
      <c r="B264" s="3">
        <f t="shared" si="161"/>
        <v>97</v>
      </c>
      <c r="C264" s="4" t="str">
        <f t="shared" si="157"/>
        <v>01100001</v>
      </c>
      <c r="D264" s="2" t="str">
        <f t="shared" si="159"/>
        <v>61</v>
      </c>
      <c r="E264" s="1"/>
      <c r="F264" s="12"/>
      <c r="G264" s="12"/>
      <c r="H264" s="11">
        <f t="shared" si="160"/>
        <v>5</v>
      </c>
      <c r="I264" s="4" t="str">
        <f t="shared" si="158"/>
        <v>00101</v>
      </c>
      <c r="J264" s="11" t="s">
        <v>15</v>
      </c>
      <c r="K264" s="1"/>
    </row>
    <row r="265" spans="1:11" x14ac:dyDescent="0.25">
      <c r="B265" s="3">
        <f t="shared" si="161"/>
        <v>97</v>
      </c>
      <c r="C265" s="4" t="str">
        <f t="shared" si="157"/>
        <v>01100001</v>
      </c>
      <c r="D265" s="2" t="str">
        <f t="shared" si="159"/>
        <v>61</v>
      </c>
      <c r="E265" s="1"/>
      <c r="F265" s="12"/>
      <c r="G265" s="12"/>
      <c r="H265" s="11">
        <f t="shared" si="160"/>
        <v>6</v>
      </c>
      <c r="I265" s="4" t="str">
        <f t="shared" si="158"/>
        <v>00110</v>
      </c>
      <c r="J265" s="1" t="s">
        <v>44</v>
      </c>
      <c r="K265" s="1"/>
    </row>
    <row r="266" spans="1:11" x14ac:dyDescent="0.25">
      <c r="B266" s="3">
        <f t="shared" si="161"/>
        <v>97</v>
      </c>
      <c r="C266" s="4" t="str">
        <f t="shared" si="157"/>
        <v>01100001</v>
      </c>
      <c r="D266" s="2" t="str">
        <f t="shared" si="159"/>
        <v>61</v>
      </c>
      <c r="E266" s="1"/>
      <c r="F266" s="12"/>
      <c r="G266" s="12"/>
      <c r="H266" s="11">
        <f t="shared" si="160"/>
        <v>7</v>
      </c>
      <c r="I266" s="4" t="str">
        <f t="shared" si="158"/>
        <v>00111</v>
      </c>
      <c r="J266" s="1" t="s">
        <v>53</v>
      </c>
      <c r="K266" s="1"/>
    </row>
    <row r="267" spans="1:11" x14ac:dyDescent="0.25">
      <c r="B267" s="3">
        <f t="shared" si="161"/>
        <v>97</v>
      </c>
      <c r="C267" s="4" t="str">
        <f t="shared" si="157"/>
        <v>01100001</v>
      </c>
      <c r="D267" s="2" t="str">
        <f t="shared" si="159"/>
        <v>61</v>
      </c>
      <c r="E267" s="1"/>
      <c r="F267" s="12"/>
      <c r="G267" s="12"/>
      <c r="H267" s="11">
        <f t="shared" si="160"/>
        <v>8</v>
      </c>
      <c r="I267" s="4" t="str">
        <f t="shared" si="158"/>
        <v>01000</v>
      </c>
      <c r="J267" s="11" t="s">
        <v>97</v>
      </c>
      <c r="K267" s="1"/>
    </row>
    <row r="268" spans="1:11" x14ac:dyDescent="0.25">
      <c r="B268" s="3">
        <f t="shared" si="161"/>
        <v>97</v>
      </c>
      <c r="C268" s="4" t="str">
        <f t="shared" si="157"/>
        <v>01100001</v>
      </c>
      <c r="D268" s="2" t="str">
        <f t="shared" si="159"/>
        <v>61</v>
      </c>
      <c r="E268" s="1"/>
      <c r="F268" s="12"/>
      <c r="G268" s="12"/>
      <c r="H268" s="11">
        <f t="shared" si="160"/>
        <v>9</v>
      </c>
      <c r="I268" s="4" t="str">
        <f t="shared" si="158"/>
        <v>01001</v>
      </c>
      <c r="J268" s="11" t="s">
        <v>98</v>
      </c>
      <c r="K268" s="1"/>
    </row>
    <row r="269" spans="1:11" x14ac:dyDescent="0.25">
      <c r="B269" s="3">
        <f t="shared" si="161"/>
        <v>97</v>
      </c>
      <c r="C269" s="4" t="str">
        <f t="shared" si="157"/>
        <v>01100001</v>
      </c>
      <c r="D269" s="2" t="str">
        <f t="shared" si="159"/>
        <v>61</v>
      </c>
      <c r="E269" s="1"/>
      <c r="F269" s="12"/>
      <c r="G269" s="12"/>
      <c r="H269" s="11">
        <f t="shared" si="160"/>
        <v>10</v>
      </c>
      <c r="I269" s="4" t="str">
        <f t="shared" si="158"/>
        <v>01010</v>
      </c>
      <c r="J269" s="1" t="s">
        <v>236</v>
      </c>
      <c r="K269" s="1" t="s">
        <v>238</v>
      </c>
    </row>
    <row r="270" spans="1:11" x14ac:dyDescent="0.25">
      <c r="B270" s="3"/>
      <c r="C270" s="4"/>
      <c r="E270" s="1"/>
      <c r="F270" s="12"/>
      <c r="G270" s="12"/>
      <c r="H270" s="11"/>
      <c r="I270" s="4"/>
      <c r="J270" s="1"/>
      <c r="K270" s="1"/>
    </row>
    <row r="271" spans="1:11" x14ac:dyDescent="0.25">
      <c r="A271" t="s">
        <v>59</v>
      </c>
      <c r="B271" s="3">
        <v>98</v>
      </c>
      <c r="C271" s="4" t="str">
        <f t="shared" ref="C271:C280" si="162">TEXT(DEC2BIN(B271), "00000000")</f>
        <v>01100010</v>
      </c>
      <c r="D271" s="2" t="str">
        <f t="shared" ref="D271:D280" si="163">DEC2HEX(B271)</f>
        <v>62</v>
      </c>
      <c r="E271" s="1" t="s">
        <v>105</v>
      </c>
      <c r="F271" s="12"/>
      <c r="G271" s="12"/>
      <c r="H271" s="11">
        <v>0</v>
      </c>
      <c r="I271" s="4" t="str">
        <f t="shared" ref="I271:I280" si="164">TEXT(DEC2BIN(H271), "00000")</f>
        <v>00000</v>
      </c>
      <c r="J271" s="1" t="s">
        <v>14</v>
      </c>
      <c r="K271" s="1" t="s">
        <v>18</v>
      </c>
    </row>
    <row r="272" spans="1:11" x14ac:dyDescent="0.25">
      <c r="B272" s="3">
        <f t="shared" ref="B272:B280" si="165">(B271)</f>
        <v>98</v>
      </c>
      <c r="C272" s="4" t="str">
        <f t="shared" si="162"/>
        <v>01100010</v>
      </c>
      <c r="D272" s="2" t="str">
        <f t="shared" si="163"/>
        <v>62</v>
      </c>
      <c r="E272" s="1"/>
      <c r="F272" s="12"/>
      <c r="G272" s="12"/>
      <c r="H272" s="11">
        <f t="shared" ref="H272:H280" si="166">H271+1</f>
        <v>1</v>
      </c>
      <c r="I272" s="4" t="str">
        <f t="shared" si="164"/>
        <v>00001</v>
      </c>
      <c r="J272" s="1" t="s">
        <v>13</v>
      </c>
      <c r="K272" s="1"/>
    </row>
    <row r="273" spans="1:11" x14ac:dyDescent="0.25">
      <c r="B273" s="3">
        <f t="shared" si="165"/>
        <v>98</v>
      </c>
      <c r="C273" s="4" t="str">
        <f t="shared" si="162"/>
        <v>01100010</v>
      </c>
      <c r="D273" s="2" t="str">
        <f t="shared" si="163"/>
        <v>62</v>
      </c>
      <c r="E273" s="1"/>
      <c r="F273" s="12"/>
      <c r="G273" s="12"/>
      <c r="H273" s="11">
        <f t="shared" si="166"/>
        <v>2</v>
      </c>
      <c r="I273" s="4" t="str">
        <f t="shared" si="164"/>
        <v>00010</v>
      </c>
      <c r="J273" s="11" t="s">
        <v>15</v>
      </c>
      <c r="K273" s="11" t="s">
        <v>21</v>
      </c>
    </row>
    <row r="274" spans="1:11" x14ac:dyDescent="0.25">
      <c r="B274" s="3">
        <f t="shared" si="165"/>
        <v>98</v>
      </c>
      <c r="C274" s="4" t="str">
        <f t="shared" si="162"/>
        <v>01100010</v>
      </c>
      <c r="D274" s="2" t="str">
        <f t="shared" si="163"/>
        <v>62</v>
      </c>
      <c r="E274" s="1"/>
      <c r="F274" s="12"/>
      <c r="G274" s="12"/>
      <c r="H274" s="11">
        <f t="shared" si="166"/>
        <v>3</v>
      </c>
      <c r="I274" s="4" t="str">
        <f t="shared" si="164"/>
        <v>00011</v>
      </c>
      <c r="J274" s="1" t="s">
        <v>42</v>
      </c>
      <c r="K274" s="11" t="s">
        <v>203</v>
      </c>
    </row>
    <row r="275" spans="1:11" x14ac:dyDescent="0.25">
      <c r="B275" s="3">
        <f t="shared" si="165"/>
        <v>98</v>
      </c>
      <c r="C275" s="4" t="str">
        <f t="shared" si="162"/>
        <v>01100010</v>
      </c>
      <c r="D275" s="2" t="str">
        <f t="shared" si="163"/>
        <v>62</v>
      </c>
      <c r="E275" s="1"/>
      <c r="F275" s="12"/>
      <c r="G275" s="12"/>
      <c r="H275" s="11">
        <f t="shared" si="166"/>
        <v>4</v>
      </c>
      <c r="I275" s="4" t="str">
        <f t="shared" si="164"/>
        <v>00100</v>
      </c>
      <c r="J275" s="1" t="s">
        <v>43</v>
      </c>
      <c r="K275" s="1"/>
    </row>
    <row r="276" spans="1:11" x14ac:dyDescent="0.25">
      <c r="B276" s="3">
        <f t="shared" si="165"/>
        <v>98</v>
      </c>
      <c r="C276" s="4" t="str">
        <f t="shared" si="162"/>
        <v>01100010</v>
      </c>
      <c r="D276" s="2" t="str">
        <f t="shared" si="163"/>
        <v>62</v>
      </c>
      <c r="E276" s="1"/>
      <c r="F276" s="12"/>
      <c r="G276" s="12"/>
      <c r="H276" s="11">
        <f t="shared" si="166"/>
        <v>5</v>
      </c>
      <c r="I276" s="4" t="str">
        <f t="shared" si="164"/>
        <v>00101</v>
      </c>
      <c r="J276" s="11" t="s">
        <v>15</v>
      </c>
      <c r="K276" s="11" t="s">
        <v>21</v>
      </c>
    </row>
    <row r="277" spans="1:11" x14ac:dyDescent="0.25">
      <c r="B277" s="3">
        <f t="shared" si="165"/>
        <v>98</v>
      </c>
      <c r="C277" s="4" t="str">
        <f t="shared" si="162"/>
        <v>01100010</v>
      </c>
      <c r="D277" s="2" t="str">
        <f t="shared" si="163"/>
        <v>62</v>
      </c>
      <c r="E277" s="1"/>
      <c r="F277" s="12"/>
      <c r="G277" s="12"/>
      <c r="H277" s="11">
        <f t="shared" si="166"/>
        <v>6</v>
      </c>
      <c r="I277" s="4" t="str">
        <f t="shared" si="164"/>
        <v>00110</v>
      </c>
      <c r="J277" s="1" t="s">
        <v>44</v>
      </c>
      <c r="K277" s="11" t="s">
        <v>204</v>
      </c>
    </row>
    <row r="278" spans="1:11" x14ac:dyDescent="0.25">
      <c r="B278" s="3">
        <f t="shared" si="165"/>
        <v>98</v>
      </c>
      <c r="C278" s="4" t="str">
        <f t="shared" si="162"/>
        <v>01100010</v>
      </c>
      <c r="D278" s="2" t="str">
        <f t="shared" si="163"/>
        <v>62</v>
      </c>
      <c r="E278" s="1"/>
      <c r="F278" s="12"/>
      <c r="G278" s="12"/>
      <c r="H278" s="11">
        <f t="shared" si="166"/>
        <v>7</v>
      </c>
      <c r="I278" s="4" t="str">
        <f t="shared" si="164"/>
        <v>00111</v>
      </c>
      <c r="J278" s="1" t="s">
        <v>53</v>
      </c>
      <c r="K278" s="11"/>
    </row>
    <row r="279" spans="1:11" x14ac:dyDescent="0.25">
      <c r="B279" s="3">
        <f t="shared" si="165"/>
        <v>98</v>
      </c>
      <c r="C279" s="4" t="str">
        <f t="shared" si="162"/>
        <v>01100010</v>
      </c>
      <c r="D279" s="2" t="str">
        <f t="shared" si="163"/>
        <v>62</v>
      </c>
      <c r="H279" s="11">
        <f t="shared" si="166"/>
        <v>8</v>
      </c>
      <c r="I279" s="4" t="str">
        <f t="shared" si="164"/>
        <v>01000</v>
      </c>
      <c r="J279" s="11" t="s">
        <v>101</v>
      </c>
      <c r="K279" s="11" t="s">
        <v>102</v>
      </c>
    </row>
    <row r="280" spans="1:11" x14ac:dyDescent="0.25">
      <c r="B280" s="3">
        <f t="shared" si="165"/>
        <v>98</v>
      </c>
      <c r="C280" s="4" t="str">
        <f t="shared" si="162"/>
        <v>01100010</v>
      </c>
      <c r="D280" s="2" t="str">
        <f t="shared" si="163"/>
        <v>62</v>
      </c>
      <c r="H280" s="11">
        <f t="shared" si="166"/>
        <v>9</v>
      </c>
      <c r="I280" s="4" t="str">
        <f t="shared" si="164"/>
        <v>01001</v>
      </c>
      <c r="J280" s="1" t="s">
        <v>236</v>
      </c>
      <c r="K280" s="1" t="s">
        <v>238</v>
      </c>
    </row>
    <row r="281" spans="1:11" x14ac:dyDescent="0.25">
      <c r="B281" s="3"/>
      <c r="C281" s="4"/>
      <c r="H281" s="11"/>
      <c r="I281" s="4"/>
      <c r="J281" s="1"/>
      <c r="K281" s="1"/>
    </row>
    <row r="282" spans="1:11" s="50" customFormat="1" ht="15" customHeight="1" x14ac:dyDescent="0.25">
      <c r="A282" s="64" t="s">
        <v>86</v>
      </c>
      <c r="B282" s="69">
        <v>99</v>
      </c>
      <c r="C282" s="4" t="str">
        <f t="shared" ref="C282:C286" si="167">TEXT(DEC2BIN(B282), "00000000")</f>
        <v>01100011</v>
      </c>
      <c r="D282" s="2" t="str">
        <f>DEC2HEX(B282)</f>
        <v>63</v>
      </c>
      <c r="E282" s="1" t="s">
        <v>180</v>
      </c>
      <c r="F282" s="71"/>
      <c r="G282" s="71"/>
      <c r="H282" s="11">
        <v>0</v>
      </c>
      <c r="I282" s="4" t="str">
        <f>TEXT(DEC2BIN(H282), "00000")</f>
        <v>00000</v>
      </c>
      <c r="J282" s="1" t="s">
        <v>14</v>
      </c>
    </row>
    <row r="283" spans="1:11" s="50" customFormat="1" ht="15" customHeight="1" x14ac:dyDescent="0.25">
      <c r="A283" s="64"/>
      <c r="B283" s="3">
        <f t="shared" ref="B283:B285" si="168">(B282)</f>
        <v>99</v>
      </c>
      <c r="C283" s="4" t="str">
        <f t="shared" si="167"/>
        <v>01100011</v>
      </c>
      <c r="D283" s="2" t="str">
        <f t="shared" ref="D283:D286" si="169">DEC2HEX(B283)</f>
        <v>63</v>
      </c>
      <c r="F283" s="71"/>
      <c r="G283" s="71"/>
      <c r="H283" s="11">
        <f t="shared" ref="H283:H286" si="170">H282+1</f>
        <v>1</v>
      </c>
      <c r="I283" s="4" t="str">
        <f>TEXT(DEC2BIN(H283), "00000")</f>
        <v>00001</v>
      </c>
      <c r="J283" s="1" t="s">
        <v>13</v>
      </c>
    </row>
    <row r="284" spans="1:11" s="64" customFormat="1" ht="15" customHeight="1" x14ac:dyDescent="0.25">
      <c r="A284" s="60"/>
      <c r="B284" s="3">
        <f t="shared" si="168"/>
        <v>99</v>
      </c>
      <c r="C284" s="4" t="str">
        <f t="shared" si="167"/>
        <v>01100011</v>
      </c>
      <c r="D284" s="2" t="str">
        <f t="shared" si="169"/>
        <v>63</v>
      </c>
      <c r="E284" s="65"/>
      <c r="F284" s="66"/>
      <c r="G284" s="66"/>
      <c r="H284" s="11">
        <f t="shared" si="170"/>
        <v>2</v>
      </c>
      <c r="I284" s="4" t="str">
        <f>TEXT(DEC2BIN(H284), "00000")</f>
        <v>00010</v>
      </c>
      <c r="J284" s="1" t="s">
        <v>181</v>
      </c>
      <c r="K284" s="65"/>
    </row>
    <row r="285" spans="1:11" s="64" customFormat="1" ht="15" customHeight="1" x14ac:dyDescent="0.25">
      <c r="A285" s="60"/>
      <c r="B285" s="3">
        <f t="shared" si="168"/>
        <v>99</v>
      </c>
      <c r="C285" s="4" t="str">
        <f t="shared" si="167"/>
        <v>01100011</v>
      </c>
      <c r="D285" s="2" t="str">
        <f t="shared" si="169"/>
        <v>63</v>
      </c>
      <c r="E285" s="65"/>
      <c r="F285" s="66"/>
      <c r="G285" s="66"/>
      <c r="H285" s="11">
        <f t="shared" si="170"/>
        <v>3</v>
      </c>
      <c r="I285" s="4" t="str">
        <f>TEXT(DEC2BIN(H285), "00000")</f>
        <v>00011</v>
      </c>
      <c r="J285" s="1" t="s">
        <v>182</v>
      </c>
      <c r="K285" s="65"/>
    </row>
    <row r="286" spans="1:11" x14ac:dyDescent="0.25">
      <c r="B286" s="3">
        <f>(B283)</f>
        <v>99</v>
      </c>
      <c r="C286" s="4" t="str">
        <f t="shared" si="167"/>
        <v>01100011</v>
      </c>
      <c r="D286" s="2" t="str">
        <f t="shared" si="169"/>
        <v>63</v>
      </c>
      <c r="H286" s="11">
        <f t="shared" si="170"/>
        <v>4</v>
      </c>
      <c r="I286" s="4" t="str">
        <f>TEXT(DEC2BIN(H286), "00000")</f>
        <v>00100</v>
      </c>
      <c r="J286" s="1" t="s">
        <v>236</v>
      </c>
      <c r="K286" s="1" t="s">
        <v>238</v>
      </c>
    </row>
    <row r="287" spans="1:11" s="50" customFormat="1" ht="15" customHeight="1" x14ac:dyDescent="0.25">
      <c r="A287" s="64"/>
      <c r="B287" s="69"/>
      <c r="D287" s="72"/>
      <c r="F287" s="71"/>
      <c r="G287" s="71"/>
      <c r="H287" s="11"/>
      <c r="I287" s="4"/>
      <c r="J287" s="1"/>
    </row>
    <row r="288" spans="1:11" s="50" customFormat="1" ht="15" customHeight="1" x14ac:dyDescent="0.25">
      <c r="A288" s="64" t="s">
        <v>87</v>
      </c>
      <c r="B288" s="69">
        <v>100</v>
      </c>
      <c r="C288" s="4" t="str">
        <f t="shared" ref="C288:C292" si="171">TEXT(DEC2BIN(B288), "00000000")</f>
        <v>01100100</v>
      </c>
      <c r="D288" s="2" t="str">
        <f>DEC2HEX(B288)</f>
        <v>64</v>
      </c>
      <c r="E288" s="1" t="s">
        <v>179</v>
      </c>
      <c r="F288" s="71"/>
      <c r="G288" s="71"/>
      <c r="H288" s="11">
        <v>0</v>
      </c>
      <c r="I288" s="4" t="str">
        <f>TEXT(DEC2BIN(H288), "00000")</f>
        <v>00000</v>
      </c>
      <c r="J288" s="1" t="s">
        <v>14</v>
      </c>
      <c r="K288" s="1" t="s">
        <v>18</v>
      </c>
    </row>
    <row r="289" spans="1:11" s="50" customFormat="1" ht="15" customHeight="1" x14ac:dyDescent="0.25">
      <c r="A289" s="64"/>
      <c r="B289" s="3">
        <f t="shared" ref="B289:B291" si="172">(B288)</f>
        <v>100</v>
      </c>
      <c r="C289" s="4" t="str">
        <f t="shared" si="171"/>
        <v>01100100</v>
      </c>
      <c r="D289" s="2" t="str">
        <f t="shared" ref="D289:D292" si="173">DEC2HEX(B289)</f>
        <v>64</v>
      </c>
      <c r="F289" s="71"/>
      <c r="G289" s="71"/>
      <c r="H289" s="11">
        <f t="shared" ref="H289:H292" si="174">H288+1</f>
        <v>1</v>
      </c>
      <c r="I289" s="4" t="str">
        <f>TEXT(DEC2BIN(H289), "00000")</f>
        <v>00001</v>
      </c>
      <c r="J289" s="1" t="s">
        <v>13</v>
      </c>
    </row>
    <row r="290" spans="1:11" s="64" customFormat="1" ht="15" customHeight="1" x14ac:dyDescent="0.25">
      <c r="A290" s="60"/>
      <c r="B290" s="3">
        <f t="shared" si="172"/>
        <v>100</v>
      </c>
      <c r="C290" s="4" t="str">
        <f t="shared" si="171"/>
        <v>01100100</v>
      </c>
      <c r="D290" s="2" t="str">
        <f t="shared" si="173"/>
        <v>64</v>
      </c>
      <c r="E290" s="65"/>
      <c r="F290" s="66"/>
      <c r="G290" s="66"/>
      <c r="H290" s="11">
        <f t="shared" si="174"/>
        <v>2</v>
      </c>
      <c r="I290" s="4" t="str">
        <f>TEXT(DEC2BIN(H290), "00000")</f>
        <v>00010</v>
      </c>
      <c r="J290" s="1" t="s">
        <v>183</v>
      </c>
      <c r="K290" s="65"/>
    </row>
    <row r="291" spans="1:11" s="64" customFormat="1" ht="15" customHeight="1" x14ac:dyDescent="0.25">
      <c r="A291" s="60"/>
      <c r="B291" s="3">
        <f t="shared" si="172"/>
        <v>100</v>
      </c>
      <c r="C291" s="4" t="str">
        <f t="shared" si="171"/>
        <v>01100100</v>
      </c>
      <c r="D291" s="2" t="str">
        <f t="shared" si="173"/>
        <v>64</v>
      </c>
      <c r="E291" s="65"/>
      <c r="F291" s="66"/>
      <c r="G291" s="66"/>
      <c r="H291" s="11">
        <f t="shared" si="174"/>
        <v>3</v>
      </c>
      <c r="I291" s="4" t="str">
        <f>TEXT(DEC2BIN(H291), "00000")</f>
        <v>00011</v>
      </c>
      <c r="J291" s="1" t="s">
        <v>184</v>
      </c>
      <c r="K291" s="65"/>
    </row>
    <row r="292" spans="1:11" x14ac:dyDescent="0.25">
      <c r="B292" s="3">
        <f>(B289)</f>
        <v>100</v>
      </c>
      <c r="C292" s="4" t="str">
        <f t="shared" si="171"/>
        <v>01100100</v>
      </c>
      <c r="D292" s="2" t="str">
        <f t="shared" si="173"/>
        <v>64</v>
      </c>
      <c r="H292" s="11">
        <f t="shared" si="174"/>
        <v>4</v>
      </c>
      <c r="I292" s="4" t="str">
        <f>TEXT(DEC2BIN(H292), "00000")</f>
        <v>00100</v>
      </c>
      <c r="J292" s="1" t="s">
        <v>236</v>
      </c>
      <c r="K292" s="1" t="s">
        <v>238</v>
      </c>
    </row>
    <row r="293" spans="1:11" s="50" customFormat="1" ht="15" customHeight="1" x14ac:dyDescent="0.25">
      <c r="A293" s="64"/>
      <c r="B293" s="69"/>
      <c r="D293" s="72"/>
      <c r="F293" s="71"/>
      <c r="G293" s="71"/>
      <c r="H293" s="11"/>
      <c r="I293" s="4"/>
      <c r="J293" s="1"/>
    </row>
    <row r="294" spans="1:11" s="50" customFormat="1" ht="15" customHeight="1" x14ac:dyDescent="0.25">
      <c r="A294" s="64" t="s">
        <v>88</v>
      </c>
      <c r="B294" s="69">
        <v>101</v>
      </c>
      <c r="C294" s="4" t="str">
        <f t="shared" ref="C294:C298" si="175">TEXT(DEC2BIN(B294), "00000000")</f>
        <v>01100101</v>
      </c>
      <c r="D294" s="2" t="str">
        <f>DEC2HEX(B294)</f>
        <v>65</v>
      </c>
      <c r="E294" s="1" t="s">
        <v>178</v>
      </c>
      <c r="F294" s="71"/>
      <c r="G294" s="71"/>
      <c r="H294" s="11">
        <v>0</v>
      </c>
      <c r="I294" s="4" t="str">
        <f>TEXT(DEC2BIN(H294), "00000")</f>
        <v>00000</v>
      </c>
      <c r="J294" s="1" t="s">
        <v>14</v>
      </c>
      <c r="K294" s="1" t="s">
        <v>18</v>
      </c>
    </row>
    <row r="295" spans="1:11" s="50" customFormat="1" ht="15" customHeight="1" x14ac:dyDescent="0.25">
      <c r="A295" s="64"/>
      <c r="B295" s="3">
        <f t="shared" ref="B295:B297" si="176">(B294)</f>
        <v>101</v>
      </c>
      <c r="C295" s="4" t="str">
        <f t="shared" si="175"/>
        <v>01100101</v>
      </c>
      <c r="D295" s="2" t="str">
        <f t="shared" ref="D295:D298" si="177">DEC2HEX(B295)</f>
        <v>65</v>
      </c>
      <c r="F295" s="71"/>
      <c r="G295" s="71"/>
      <c r="H295" s="11">
        <f t="shared" ref="H295:H298" si="178">H294+1</f>
        <v>1</v>
      </c>
      <c r="I295" s="4" t="str">
        <f>TEXT(DEC2BIN(H295), "00000")</f>
        <v>00001</v>
      </c>
      <c r="J295" s="1" t="s">
        <v>13</v>
      </c>
    </row>
    <row r="296" spans="1:11" s="64" customFormat="1" ht="15" customHeight="1" x14ac:dyDescent="0.25">
      <c r="A296" s="60"/>
      <c r="B296" s="3">
        <f t="shared" si="176"/>
        <v>101</v>
      </c>
      <c r="C296" s="4" t="str">
        <f t="shared" si="175"/>
        <v>01100101</v>
      </c>
      <c r="D296" s="2" t="str">
        <f t="shared" si="177"/>
        <v>65</v>
      </c>
      <c r="E296" s="65"/>
      <c r="F296" s="66"/>
      <c r="G296" s="66"/>
      <c r="H296" s="11">
        <f t="shared" si="178"/>
        <v>2</v>
      </c>
      <c r="I296" s="4" t="str">
        <f>TEXT(DEC2BIN(H296), "00000")</f>
        <v>00010</v>
      </c>
      <c r="J296" s="1" t="s">
        <v>185</v>
      </c>
      <c r="K296" s="65"/>
    </row>
    <row r="297" spans="1:11" s="64" customFormat="1" ht="15" customHeight="1" x14ac:dyDescent="0.25">
      <c r="A297" s="60"/>
      <c r="B297" s="3">
        <f t="shared" si="176"/>
        <v>101</v>
      </c>
      <c r="C297" s="4" t="str">
        <f t="shared" si="175"/>
        <v>01100101</v>
      </c>
      <c r="D297" s="2" t="str">
        <f t="shared" si="177"/>
        <v>65</v>
      </c>
      <c r="E297" s="65"/>
      <c r="F297" s="66"/>
      <c r="G297" s="66"/>
      <c r="H297" s="11">
        <f t="shared" si="178"/>
        <v>3</v>
      </c>
      <c r="I297" s="4" t="str">
        <f>TEXT(DEC2BIN(H297), "00000")</f>
        <v>00011</v>
      </c>
      <c r="J297" s="1" t="s">
        <v>186</v>
      </c>
      <c r="K297" s="65"/>
    </row>
    <row r="298" spans="1:11" x14ac:dyDescent="0.25">
      <c r="B298" s="3">
        <f>(B295)</f>
        <v>101</v>
      </c>
      <c r="C298" s="4" t="str">
        <f t="shared" si="175"/>
        <v>01100101</v>
      </c>
      <c r="D298" s="2" t="str">
        <f t="shared" si="177"/>
        <v>65</v>
      </c>
      <c r="H298" s="11">
        <f t="shared" si="178"/>
        <v>4</v>
      </c>
      <c r="I298" s="4" t="str">
        <f>TEXT(DEC2BIN(H298), "00000")</f>
        <v>00100</v>
      </c>
      <c r="J298" s="1" t="s">
        <v>236</v>
      </c>
      <c r="K298" s="1" t="s">
        <v>238</v>
      </c>
    </row>
    <row r="299" spans="1:11" s="50" customFormat="1" ht="15" customHeight="1" x14ac:dyDescent="0.25">
      <c r="A299" s="64"/>
      <c r="B299" s="69"/>
      <c r="D299" s="72"/>
      <c r="F299" s="71"/>
      <c r="G299" s="71"/>
      <c r="H299" s="11"/>
      <c r="I299" s="4"/>
      <c r="J299" s="1"/>
    </row>
    <row r="300" spans="1:11" s="50" customFormat="1" ht="15" customHeight="1" x14ac:dyDescent="0.25">
      <c r="A300" s="64" t="s">
        <v>89</v>
      </c>
      <c r="B300" s="69">
        <v>102</v>
      </c>
      <c r="C300" s="4" t="str">
        <f t="shared" ref="C300:C304" si="179">TEXT(DEC2BIN(B300), "00000000")</f>
        <v>01100110</v>
      </c>
      <c r="D300" s="2" t="str">
        <f>DEC2HEX(B300)</f>
        <v>66</v>
      </c>
      <c r="E300" s="1" t="s">
        <v>177</v>
      </c>
      <c r="F300" s="71"/>
      <c r="G300" s="71"/>
      <c r="H300" s="11">
        <v>0</v>
      </c>
      <c r="I300" s="4" t="str">
        <f>TEXT(DEC2BIN(H300), "00000")</f>
        <v>00000</v>
      </c>
      <c r="J300" s="1" t="s">
        <v>14</v>
      </c>
    </row>
    <row r="301" spans="1:11" s="50" customFormat="1" ht="15" customHeight="1" x14ac:dyDescent="0.25">
      <c r="A301" s="64"/>
      <c r="B301" s="3">
        <f t="shared" ref="B301:B303" si="180">(B300)</f>
        <v>102</v>
      </c>
      <c r="C301" s="4" t="str">
        <f t="shared" si="179"/>
        <v>01100110</v>
      </c>
      <c r="D301" s="2" t="str">
        <f t="shared" ref="D301:D304" si="181">DEC2HEX(B301)</f>
        <v>66</v>
      </c>
      <c r="F301" s="71"/>
      <c r="G301" s="71"/>
      <c r="H301" s="11">
        <f t="shared" ref="H301:H304" si="182">H300+1</f>
        <v>1</v>
      </c>
      <c r="I301" s="4" t="str">
        <f>TEXT(DEC2BIN(H301), "00000")</f>
        <v>00001</v>
      </c>
      <c r="J301" s="1" t="s">
        <v>13</v>
      </c>
    </row>
    <row r="302" spans="1:11" s="64" customFormat="1" ht="15" customHeight="1" x14ac:dyDescent="0.25">
      <c r="A302" s="60"/>
      <c r="B302" s="3">
        <f t="shared" si="180"/>
        <v>102</v>
      </c>
      <c r="C302" s="4" t="str">
        <f t="shared" si="179"/>
        <v>01100110</v>
      </c>
      <c r="D302" s="2" t="str">
        <f t="shared" si="181"/>
        <v>66</v>
      </c>
      <c r="E302" s="65"/>
      <c r="F302" s="66"/>
      <c r="G302" s="66"/>
      <c r="H302" s="11">
        <f t="shared" si="182"/>
        <v>2</v>
      </c>
      <c r="I302" s="4" t="str">
        <f>TEXT(DEC2BIN(H302), "00000")</f>
        <v>00010</v>
      </c>
      <c r="J302" s="1" t="s">
        <v>187</v>
      </c>
      <c r="K302" s="65"/>
    </row>
    <row r="303" spans="1:11" s="64" customFormat="1" ht="15" customHeight="1" x14ac:dyDescent="0.25">
      <c r="A303" s="60"/>
      <c r="B303" s="3">
        <f t="shared" si="180"/>
        <v>102</v>
      </c>
      <c r="C303" s="4" t="str">
        <f t="shared" si="179"/>
        <v>01100110</v>
      </c>
      <c r="D303" s="2" t="str">
        <f t="shared" si="181"/>
        <v>66</v>
      </c>
      <c r="E303" s="65"/>
      <c r="F303" s="66"/>
      <c r="G303" s="66"/>
      <c r="H303" s="11">
        <f t="shared" si="182"/>
        <v>3</v>
      </c>
      <c r="I303" s="4" t="str">
        <f>TEXT(DEC2BIN(H303), "00000")</f>
        <v>00011</v>
      </c>
      <c r="J303" s="1" t="s">
        <v>188</v>
      </c>
      <c r="K303" s="65"/>
    </row>
    <row r="304" spans="1:11" x14ac:dyDescent="0.25">
      <c r="B304" s="3">
        <f>(B301)</f>
        <v>102</v>
      </c>
      <c r="C304" s="4" t="str">
        <f t="shared" si="179"/>
        <v>01100110</v>
      </c>
      <c r="D304" s="2" t="str">
        <f t="shared" si="181"/>
        <v>66</v>
      </c>
      <c r="H304" s="11">
        <f t="shared" si="182"/>
        <v>4</v>
      </c>
      <c r="I304" s="4" t="str">
        <f>TEXT(DEC2BIN(H304), "00000")</f>
        <v>00100</v>
      </c>
      <c r="J304" s="1" t="s">
        <v>236</v>
      </c>
      <c r="K304" s="1" t="s">
        <v>238</v>
      </c>
    </row>
    <row r="305" spans="1:11" s="50" customFormat="1" ht="15" customHeight="1" x14ac:dyDescent="0.25">
      <c r="A305" s="64"/>
      <c r="B305" s="69"/>
      <c r="D305" s="72"/>
      <c r="F305" s="71"/>
      <c r="G305" s="71"/>
      <c r="H305" s="11"/>
      <c r="I305" s="4"/>
      <c r="J305" s="1"/>
    </row>
    <row r="306" spans="1:11" s="50" customFormat="1" ht="15" customHeight="1" x14ac:dyDescent="0.25">
      <c r="A306" s="64" t="s">
        <v>90</v>
      </c>
      <c r="B306" s="69">
        <v>103</v>
      </c>
      <c r="C306" s="4" t="str">
        <f t="shared" ref="C306:C310" si="183">TEXT(DEC2BIN(B306), "00000000")</f>
        <v>01100111</v>
      </c>
      <c r="D306" s="2" t="str">
        <f>DEC2HEX(B306)</f>
        <v>67</v>
      </c>
      <c r="E306" s="1" t="s">
        <v>176</v>
      </c>
      <c r="F306" s="71"/>
      <c r="G306" s="71"/>
      <c r="H306" s="11">
        <v>0</v>
      </c>
      <c r="I306" s="4" t="str">
        <f>TEXT(DEC2BIN(H306), "00000")</f>
        <v>00000</v>
      </c>
      <c r="J306" s="1" t="s">
        <v>14</v>
      </c>
      <c r="K306" s="1" t="s">
        <v>18</v>
      </c>
    </row>
    <row r="307" spans="1:11" s="50" customFormat="1" x14ac:dyDescent="0.25">
      <c r="B307" s="3">
        <f t="shared" ref="B307:B309" si="184">(B306)</f>
        <v>103</v>
      </c>
      <c r="C307" s="4" t="str">
        <f t="shared" si="183"/>
        <v>01100111</v>
      </c>
      <c r="D307" s="2" t="str">
        <f t="shared" ref="D307:D310" si="185">DEC2HEX(B307)</f>
        <v>67</v>
      </c>
      <c r="F307" s="71"/>
      <c r="G307" s="71"/>
      <c r="H307" s="11">
        <f t="shared" ref="H307:H310" si="186">H306+1</f>
        <v>1</v>
      </c>
      <c r="I307" s="4" t="str">
        <f>TEXT(DEC2BIN(H307), "00000")</f>
        <v>00001</v>
      </c>
      <c r="J307" s="1" t="s">
        <v>13</v>
      </c>
    </row>
    <row r="308" spans="1:11" s="64" customFormat="1" ht="15" customHeight="1" x14ac:dyDescent="0.25">
      <c r="A308" s="60"/>
      <c r="B308" s="3">
        <f t="shared" si="184"/>
        <v>103</v>
      </c>
      <c r="C308" s="4" t="str">
        <f t="shared" si="183"/>
        <v>01100111</v>
      </c>
      <c r="D308" s="2" t="str">
        <f t="shared" si="185"/>
        <v>67</v>
      </c>
      <c r="E308" s="65"/>
      <c r="F308" s="66"/>
      <c r="G308" s="66"/>
      <c r="H308" s="11">
        <f t="shared" si="186"/>
        <v>2</v>
      </c>
      <c r="I308" s="4" t="str">
        <f>TEXT(DEC2BIN(H308), "00000")</f>
        <v>00010</v>
      </c>
      <c r="J308" s="1" t="s">
        <v>189</v>
      </c>
      <c r="K308" s="65"/>
    </row>
    <row r="309" spans="1:11" s="64" customFormat="1" ht="15" customHeight="1" x14ac:dyDescent="0.25">
      <c r="A309" s="60"/>
      <c r="B309" s="3">
        <f t="shared" si="184"/>
        <v>103</v>
      </c>
      <c r="C309" s="4" t="str">
        <f t="shared" si="183"/>
        <v>01100111</v>
      </c>
      <c r="D309" s="2" t="str">
        <f t="shared" si="185"/>
        <v>67</v>
      </c>
      <c r="E309" s="65"/>
      <c r="F309" s="66"/>
      <c r="G309" s="66"/>
      <c r="H309" s="11">
        <f t="shared" si="186"/>
        <v>3</v>
      </c>
      <c r="I309" s="4" t="str">
        <f>TEXT(DEC2BIN(H309), "00000")</f>
        <v>00011</v>
      </c>
      <c r="J309" s="1" t="s">
        <v>190</v>
      </c>
      <c r="K309" s="65"/>
    </row>
    <row r="310" spans="1:11" x14ac:dyDescent="0.25">
      <c r="B310" s="3">
        <f>(B307)</f>
        <v>103</v>
      </c>
      <c r="C310" s="4" t="str">
        <f t="shared" si="183"/>
        <v>01100111</v>
      </c>
      <c r="D310" s="2" t="str">
        <f t="shared" si="185"/>
        <v>67</v>
      </c>
      <c r="H310" s="11">
        <f t="shared" si="186"/>
        <v>4</v>
      </c>
      <c r="I310" s="4" t="str">
        <f t="shared" ref="I310" si="187">TEXT(DEC2BIN(H310), "00000")</f>
        <v>00100</v>
      </c>
      <c r="J310" s="1" t="s">
        <v>236</v>
      </c>
      <c r="K310" s="1" t="s">
        <v>238</v>
      </c>
    </row>
    <row r="311" spans="1:11" x14ac:dyDescent="0.25">
      <c r="B311" s="37"/>
      <c r="C311" s="4"/>
      <c r="E311" s="1"/>
      <c r="F311" s="12"/>
      <c r="G311" s="12"/>
      <c r="H311" s="11"/>
      <c r="I311" s="4"/>
      <c r="J311" s="1"/>
      <c r="K311" s="1"/>
    </row>
    <row r="312" spans="1:11" s="88" customFormat="1" x14ac:dyDescent="0.25">
      <c r="A312" s="83" t="s">
        <v>63</v>
      </c>
      <c r="B312" s="89">
        <v>112</v>
      </c>
      <c r="C312" s="79" t="str">
        <f t="shared" ref="C312:C317" si="188">TEXT(DEC2BIN(B312), "00000000")</f>
        <v>01110000</v>
      </c>
      <c r="D312" s="80" t="str">
        <f>DEC2HEX(B312)</f>
        <v>70</v>
      </c>
      <c r="E312" s="90" t="s">
        <v>123</v>
      </c>
      <c r="F312" s="91"/>
      <c r="G312" s="91"/>
      <c r="H312" s="87">
        <v>0</v>
      </c>
      <c r="I312" s="79" t="str">
        <f t="shared" ref="I312:I340" si="189">TEXT(DEC2BIN(H312), "00000")</f>
        <v>00000</v>
      </c>
      <c r="J312" s="81" t="s">
        <v>14</v>
      </c>
      <c r="K312" s="1" t="s">
        <v>18</v>
      </c>
    </row>
    <row r="313" spans="1:11" s="50" customFormat="1" x14ac:dyDescent="0.25">
      <c r="A313" s="44"/>
      <c r="B313" s="3">
        <f t="shared" ref="B313:B316" si="190">(B312)</f>
        <v>112</v>
      </c>
      <c r="C313" s="4" t="str">
        <f t="shared" si="188"/>
        <v>01110000</v>
      </c>
      <c r="D313" s="2" t="str">
        <f t="shared" ref="D313:D317" si="191">DEC2HEX(B313)</f>
        <v>70</v>
      </c>
      <c r="E313" s="54"/>
      <c r="F313" s="55"/>
      <c r="G313" s="55"/>
      <c r="H313" s="11">
        <f t="shared" ref="H313:H316" si="192">H312+1</f>
        <v>1</v>
      </c>
      <c r="I313" s="4" t="str">
        <f t="shared" si="189"/>
        <v>00001</v>
      </c>
      <c r="J313" s="1" t="s">
        <v>13</v>
      </c>
      <c r="K313" s="54"/>
    </row>
    <row r="314" spans="1:11" x14ac:dyDescent="0.25">
      <c r="B314" s="3">
        <f t="shared" si="190"/>
        <v>112</v>
      </c>
      <c r="C314" s="4" t="str">
        <f t="shared" si="188"/>
        <v>01110000</v>
      </c>
      <c r="D314" s="2" t="str">
        <f t="shared" si="191"/>
        <v>70</v>
      </c>
      <c r="E314" s="1"/>
      <c r="F314" s="12"/>
      <c r="G314" s="12"/>
      <c r="H314" s="11">
        <f t="shared" si="192"/>
        <v>2</v>
      </c>
      <c r="I314" s="4" t="str">
        <f t="shared" ref="I314:I316" si="193">TEXT(DEC2BIN(H314), "00000")</f>
        <v>00010</v>
      </c>
      <c r="J314" s="11" t="s">
        <v>15</v>
      </c>
      <c r="K314" s="11"/>
    </row>
    <row r="315" spans="1:11" x14ac:dyDescent="0.25">
      <c r="B315" s="3">
        <f t="shared" si="190"/>
        <v>112</v>
      </c>
      <c r="C315" s="4" t="str">
        <f t="shared" si="188"/>
        <v>01110000</v>
      </c>
      <c r="D315" s="2" t="str">
        <f t="shared" si="191"/>
        <v>70</v>
      </c>
      <c r="E315" s="1"/>
      <c r="F315" s="12"/>
      <c r="G315" s="12"/>
      <c r="H315" s="11">
        <f t="shared" si="192"/>
        <v>3</v>
      </c>
      <c r="I315" s="4" t="str">
        <f t="shared" si="193"/>
        <v>00011</v>
      </c>
      <c r="J315" s="1" t="s">
        <v>160</v>
      </c>
      <c r="K315" s="11"/>
    </row>
    <row r="316" spans="1:11" x14ac:dyDescent="0.25">
      <c r="B316" s="3">
        <f t="shared" si="190"/>
        <v>112</v>
      </c>
      <c r="C316" s="4" t="str">
        <f t="shared" si="188"/>
        <v>01110000</v>
      </c>
      <c r="D316" s="2" t="str">
        <f t="shared" si="191"/>
        <v>70</v>
      </c>
      <c r="E316" s="1"/>
      <c r="F316" s="12"/>
      <c r="G316" s="12"/>
      <c r="H316" s="11">
        <f t="shared" si="192"/>
        <v>4</v>
      </c>
      <c r="I316" s="4" t="str">
        <f t="shared" si="193"/>
        <v>00100</v>
      </c>
      <c r="J316" s="1" t="s">
        <v>161</v>
      </c>
      <c r="K316" s="1"/>
    </row>
    <row r="317" spans="1:11" x14ac:dyDescent="0.25">
      <c r="B317" s="3">
        <f>(B313)</f>
        <v>112</v>
      </c>
      <c r="C317" s="4" t="str">
        <f t="shared" si="188"/>
        <v>01110000</v>
      </c>
      <c r="D317" s="2" t="str">
        <f t="shared" si="191"/>
        <v>70</v>
      </c>
      <c r="H317" s="11">
        <f>H313+1</f>
        <v>2</v>
      </c>
      <c r="I317" s="4" t="str">
        <f t="shared" si="189"/>
        <v>00010</v>
      </c>
      <c r="J317" s="1" t="s">
        <v>236</v>
      </c>
      <c r="K317" s="1" t="s">
        <v>238</v>
      </c>
    </row>
    <row r="318" spans="1:11" s="50" customFormat="1" x14ac:dyDescent="0.25">
      <c r="A318" s="44"/>
      <c r="B318" s="51"/>
      <c r="C318" s="52"/>
      <c r="D318" s="53"/>
      <c r="E318" s="54"/>
      <c r="F318" s="55"/>
      <c r="G318" s="55"/>
      <c r="H318" s="11"/>
      <c r="I318" s="4"/>
      <c r="J318" s="1"/>
      <c r="K318" s="54"/>
    </row>
    <row r="319" spans="1:11" s="50" customFormat="1" x14ac:dyDescent="0.25">
      <c r="A319" s="44" t="s">
        <v>64</v>
      </c>
      <c r="B319" s="45">
        <v>113</v>
      </c>
      <c r="C319" s="4" t="str">
        <f t="shared" ref="C319:C329" si="194">TEXT(DEC2BIN(B319), "00000000")</f>
        <v>01110001</v>
      </c>
      <c r="D319" s="2" t="str">
        <f>DEC2HEX(B319)</f>
        <v>71</v>
      </c>
      <c r="E319" s="48" t="s">
        <v>124</v>
      </c>
      <c r="F319" s="49"/>
      <c r="G319" s="49"/>
      <c r="H319" s="11">
        <v>0</v>
      </c>
      <c r="I319" s="4" t="str">
        <f t="shared" si="189"/>
        <v>00000</v>
      </c>
      <c r="J319" s="1" t="s">
        <v>14</v>
      </c>
      <c r="K319" s="1" t="s">
        <v>18</v>
      </c>
    </row>
    <row r="320" spans="1:11" s="50" customFormat="1" x14ac:dyDescent="0.25">
      <c r="A320" s="44"/>
      <c r="B320" s="3">
        <f>(B319)</f>
        <v>113</v>
      </c>
      <c r="C320" s="4" t="str">
        <f t="shared" si="194"/>
        <v>01110001</v>
      </c>
      <c r="D320" s="2" t="str">
        <f t="shared" ref="D320:D328" si="195">DEC2HEX(B320)</f>
        <v>71</v>
      </c>
      <c r="E320" s="48"/>
      <c r="F320" s="49"/>
      <c r="G320" s="49"/>
      <c r="H320" s="11">
        <f>H319+1</f>
        <v>1</v>
      </c>
      <c r="I320" s="4" t="str">
        <f t="shared" si="189"/>
        <v>00001</v>
      </c>
      <c r="J320" s="1" t="s">
        <v>13</v>
      </c>
      <c r="K320" s="48"/>
    </row>
    <row r="321" spans="1:11" x14ac:dyDescent="0.25">
      <c r="B321" s="3">
        <f>(B320)</f>
        <v>113</v>
      </c>
      <c r="C321" s="4" t="str">
        <f t="shared" si="194"/>
        <v>01110001</v>
      </c>
      <c r="D321" s="2" t="str">
        <f t="shared" si="195"/>
        <v>71</v>
      </c>
      <c r="E321" s="1"/>
      <c r="F321" s="12"/>
      <c r="G321" s="12"/>
      <c r="H321" s="11">
        <f>H320+1</f>
        <v>2</v>
      </c>
      <c r="I321" s="4" t="str">
        <f t="shared" si="189"/>
        <v>00010</v>
      </c>
      <c r="J321" s="11" t="s">
        <v>15</v>
      </c>
      <c r="K321" s="11" t="s">
        <v>21</v>
      </c>
    </row>
    <row r="322" spans="1:11" x14ac:dyDescent="0.25">
      <c r="B322" s="3">
        <f t="shared" ref="B322:B329" si="196">(B321)</f>
        <v>113</v>
      </c>
      <c r="C322" s="4" t="str">
        <f t="shared" si="194"/>
        <v>01110001</v>
      </c>
      <c r="D322" s="2" t="str">
        <f t="shared" si="195"/>
        <v>71</v>
      </c>
      <c r="E322" s="1"/>
      <c r="F322" s="12"/>
      <c r="G322" s="12"/>
      <c r="H322" s="11">
        <f>H321+1</f>
        <v>3</v>
      </c>
      <c r="I322" s="4" t="str">
        <f t="shared" si="189"/>
        <v>00011</v>
      </c>
      <c r="J322" s="1" t="s">
        <v>42</v>
      </c>
      <c r="K322" s="11" t="s">
        <v>203</v>
      </c>
    </row>
    <row r="323" spans="1:11" x14ac:dyDescent="0.25">
      <c r="B323" s="3">
        <f t="shared" si="196"/>
        <v>113</v>
      </c>
      <c r="C323" s="4" t="str">
        <f t="shared" si="194"/>
        <v>01110001</v>
      </c>
      <c r="D323" s="2" t="str">
        <f t="shared" si="195"/>
        <v>71</v>
      </c>
      <c r="E323" s="1"/>
      <c r="F323" s="12"/>
      <c r="G323" s="12"/>
      <c r="H323" s="11">
        <f t="shared" ref="H323:H329" si="197">H322+1</f>
        <v>4</v>
      </c>
      <c r="I323" s="4" t="str">
        <f t="shared" si="189"/>
        <v>00100</v>
      </c>
      <c r="J323" s="1" t="s">
        <v>43</v>
      </c>
      <c r="K323" s="1"/>
    </row>
    <row r="324" spans="1:11" x14ac:dyDescent="0.25">
      <c r="B324" s="3">
        <f t="shared" si="196"/>
        <v>113</v>
      </c>
      <c r="C324" s="4" t="str">
        <f t="shared" si="194"/>
        <v>01110001</v>
      </c>
      <c r="D324" s="2" t="str">
        <f t="shared" si="195"/>
        <v>71</v>
      </c>
      <c r="E324" s="1"/>
      <c r="F324" s="12"/>
      <c r="G324" s="12"/>
      <c r="H324" s="11">
        <f t="shared" si="197"/>
        <v>5</v>
      </c>
      <c r="I324" s="4" t="str">
        <f t="shared" si="189"/>
        <v>00101</v>
      </c>
      <c r="J324" s="11" t="s">
        <v>15</v>
      </c>
      <c r="K324" s="11" t="s">
        <v>21</v>
      </c>
    </row>
    <row r="325" spans="1:11" x14ac:dyDescent="0.25">
      <c r="B325" s="3">
        <f t="shared" si="196"/>
        <v>113</v>
      </c>
      <c r="C325" s="4" t="str">
        <f t="shared" si="194"/>
        <v>01110001</v>
      </c>
      <c r="D325" s="2" t="str">
        <f t="shared" si="195"/>
        <v>71</v>
      </c>
      <c r="E325" s="1"/>
      <c r="F325" s="12"/>
      <c r="G325" s="12"/>
      <c r="H325" s="11">
        <f t="shared" si="197"/>
        <v>6</v>
      </c>
      <c r="I325" s="4" t="str">
        <f t="shared" si="189"/>
        <v>00110</v>
      </c>
      <c r="J325" s="1" t="s">
        <v>44</v>
      </c>
      <c r="K325" s="11" t="s">
        <v>204</v>
      </c>
    </row>
    <row r="326" spans="1:11" x14ac:dyDescent="0.25">
      <c r="B326" s="3">
        <f t="shared" si="196"/>
        <v>113</v>
      </c>
      <c r="C326" s="4" t="str">
        <f t="shared" si="194"/>
        <v>01110001</v>
      </c>
      <c r="D326" s="2" t="str">
        <f t="shared" si="195"/>
        <v>71</v>
      </c>
      <c r="E326" s="1"/>
      <c r="F326" s="12"/>
      <c r="G326" s="12"/>
      <c r="H326" s="11">
        <f t="shared" si="197"/>
        <v>7</v>
      </c>
      <c r="I326" s="4" t="str">
        <f t="shared" si="189"/>
        <v>00111</v>
      </c>
      <c r="J326" s="1" t="s">
        <v>53</v>
      </c>
      <c r="K326" s="11"/>
    </row>
    <row r="327" spans="1:11" x14ac:dyDescent="0.25">
      <c r="B327" s="3">
        <f t="shared" si="196"/>
        <v>113</v>
      </c>
      <c r="C327" s="4" t="str">
        <f t="shared" si="194"/>
        <v>01110001</v>
      </c>
      <c r="D327" s="2" t="str">
        <f t="shared" si="195"/>
        <v>71</v>
      </c>
      <c r="H327" s="11">
        <f t="shared" si="197"/>
        <v>8</v>
      </c>
      <c r="I327" s="4" t="str">
        <f t="shared" si="189"/>
        <v>01000</v>
      </c>
      <c r="J327" s="11" t="s">
        <v>191</v>
      </c>
      <c r="K327" s="11" t="s">
        <v>19</v>
      </c>
    </row>
    <row r="328" spans="1:11" x14ac:dyDescent="0.25">
      <c r="B328" s="3">
        <f t="shared" si="196"/>
        <v>113</v>
      </c>
      <c r="C328" s="4" t="str">
        <f t="shared" si="194"/>
        <v>01110001</v>
      </c>
      <c r="D328" s="2" t="str">
        <f t="shared" si="195"/>
        <v>71</v>
      </c>
      <c r="H328" s="11">
        <f t="shared" si="197"/>
        <v>9</v>
      </c>
      <c r="I328" s="4" t="str">
        <f t="shared" si="189"/>
        <v>01001</v>
      </c>
      <c r="J328" s="11" t="s">
        <v>17</v>
      </c>
      <c r="K328" s="1"/>
    </row>
    <row r="329" spans="1:11" x14ac:dyDescent="0.25">
      <c r="B329" s="3">
        <f t="shared" si="196"/>
        <v>113</v>
      </c>
      <c r="C329" s="4" t="str">
        <f t="shared" si="194"/>
        <v>01110001</v>
      </c>
      <c r="D329" s="2" t="str">
        <f t="shared" ref="D329" si="198">DEC2HEX(B329)</f>
        <v>71</v>
      </c>
      <c r="H329" s="11">
        <f t="shared" si="197"/>
        <v>10</v>
      </c>
      <c r="I329" s="4" t="str">
        <f t="shared" si="189"/>
        <v>01010</v>
      </c>
      <c r="J329" s="1" t="s">
        <v>236</v>
      </c>
      <c r="K329" s="1" t="s">
        <v>238</v>
      </c>
    </row>
    <row r="330" spans="1:11" s="50" customFormat="1" x14ac:dyDescent="0.25">
      <c r="A330" s="44"/>
      <c r="B330" s="45"/>
      <c r="C330" s="46"/>
      <c r="D330" s="47"/>
      <c r="E330" s="48"/>
      <c r="F330" s="49"/>
      <c r="G330" s="49"/>
      <c r="H330" s="11"/>
      <c r="I330" s="4"/>
      <c r="J330" s="1"/>
      <c r="K330" s="48"/>
    </row>
    <row r="331" spans="1:11" s="50" customFormat="1" x14ac:dyDescent="0.25">
      <c r="A331" s="44" t="s">
        <v>65</v>
      </c>
      <c r="B331" s="51">
        <v>114</v>
      </c>
      <c r="C331" s="4" t="str">
        <f t="shared" ref="C331:C340" si="199">TEXT(DEC2BIN(B331), "00000000")</f>
        <v>01110010</v>
      </c>
      <c r="D331" s="2" t="str">
        <f>DEC2HEX(B331)</f>
        <v>72</v>
      </c>
      <c r="E331" s="54"/>
      <c r="F331" s="55"/>
      <c r="G331" s="55"/>
      <c r="H331" s="11">
        <v>0</v>
      </c>
      <c r="I331" s="4" t="str">
        <f t="shared" si="189"/>
        <v>00000</v>
      </c>
      <c r="J331" s="1" t="s">
        <v>14</v>
      </c>
      <c r="K331" s="1" t="s">
        <v>18</v>
      </c>
    </row>
    <row r="332" spans="1:11" s="50" customFormat="1" x14ac:dyDescent="0.25">
      <c r="A332" s="44"/>
      <c r="B332" s="3">
        <f t="shared" ref="B332:B339" si="200">(B331)</f>
        <v>114</v>
      </c>
      <c r="C332" s="4" t="str">
        <f t="shared" si="199"/>
        <v>01110010</v>
      </c>
      <c r="D332" s="2" t="str">
        <f t="shared" ref="D332:D340" si="201">DEC2HEX(B332)</f>
        <v>72</v>
      </c>
      <c r="E332" s="54"/>
      <c r="F332" s="55"/>
      <c r="G332" s="55"/>
      <c r="H332" s="11">
        <f t="shared" ref="H332:H339" si="202">H331+1</f>
        <v>1</v>
      </c>
      <c r="I332" s="4" t="str">
        <f t="shared" si="189"/>
        <v>00001</v>
      </c>
      <c r="J332" s="1" t="s">
        <v>13</v>
      </c>
      <c r="K332" s="54"/>
    </row>
    <row r="333" spans="1:11" x14ac:dyDescent="0.25">
      <c r="B333" s="3">
        <f t="shared" si="200"/>
        <v>114</v>
      </c>
      <c r="C333" s="4" t="str">
        <f t="shared" si="199"/>
        <v>01110010</v>
      </c>
      <c r="D333" s="2" t="str">
        <f t="shared" si="201"/>
        <v>72</v>
      </c>
      <c r="E333" s="1"/>
      <c r="F333" s="12"/>
      <c r="G333" s="12"/>
      <c r="H333" s="11">
        <f t="shared" si="202"/>
        <v>2</v>
      </c>
      <c r="I333" s="4" t="str">
        <f t="shared" si="189"/>
        <v>00010</v>
      </c>
      <c r="J333" s="11" t="s">
        <v>15</v>
      </c>
      <c r="K333" s="11" t="s">
        <v>21</v>
      </c>
    </row>
    <row r="334" spans="1:11" x14ac:dyDescent="0.25">
      <c r="B334" s="3">
        <f t="shared" si="200"/>
        <v>114</v>
      </c>
      <c r="C334" s="4" t="str">
        <f t="shared" si="199"/>
        <v>01110010</v>
      </c>
      <c r="D334" s="2" t="str">
        <f t="shared" si="201"/>
        <v>72</v>
      </c>
      <c r="E334" s="1"/>
      <c r="F334" s="12"/>
      <c r="G334" s="12"/>
      <c r="H334" s="11">
        <f t="shared" si="202"/>
        <v>3</v>
      </c>
      <c r="I334" s="4" t="str">
        <f t="shared" si="189"/>
        <v>00011</v>
      </c>
      <c r="J334" s="1" t="s">
        <v>42</v>
      </c>
      <c r="K334" s="11" t="s">
        <v>203</v>
      </c>
    </row>
    <row r="335" spans="1:11" x14ac:dyDescent="0.25">
      <c r="B335" s="3">
        <f t="shared" si="200"/>
        <v>114</v>
      </c>
      <c r="C335" s="4" t="str">
        <f t="shared" si="199"/>
        <v>01110010</v>
      </c>
      <c r="D335" s="2" t="str">
        <f t="shared" si="201"/>
        <v>72</v>
      </c>
      <c r="E335" s="1"/>
      <c r="F335" s="12"/>
      <c r="G335" s="12"/>
      <c r="H335" s="11">
        <f t="shared" si="202"/>
        <v>4</v>
      </c>
      <c r="I335" s="4" t="str">
        <f t="shared" si="189"/>
        <v>00100</v>
      </c>
      <c r="J335" s="1" t="s">
        <v>43</v>
      </c>
      <c r="K335" s="1"/>
    </row>
    <row r="336" spans="1:11" x14ac:dyDescent="0.25">
      <c r="B336" s="3">
        <f t="shared" si="200"/>
        <v>114</v>
      </c>
      <c r="C336" s="4" t="str">
        <f t="shared" si="199"/>
        <v>01110010</v>
      </c>
      <c r="D336" s="2" t="str">
        <f t="shared" si="201"/>
        <v>72</v>
      </c>
      <c r="E336" s="1"/>
      <c r="F336" s="12"/>
      <c r="G336" s="12"/>
      <c r="H336" s="11">
        <f t="shared" si="202"/>
        <v>5</v>
      </c>
      <c r="I336" s="4" t="str">
        <f t="shared" si="189"/>
        <v>00101</v>
      </c>
      <c r="J336" s="11" t="s">
        <v>15</v>
      </c>
      <c r="K336" s="11" t="s">
        <v>21</v>
      </c>
    </row>
    <row r="337" spans="1:11" x14ac:dyDescent="0.25">
      <c r="B337" s="3">
        <f t="shared" si="200"/>
        <v>114</v>
      </c>
      <c r="C337" s="4" t="str">
        <f t="shared" si="199"/>
        <v>01110010</v>
      </c>
      <c r="D337" s="2" t="str">
        <f t="shared" si="201"/>
        <v>72</v>
      </c>
      <c r="E337" s="1"/>
      <c r="F337" s="12"/>
      <c r="G337" s="12"/>
      <c r="H337" s="11">
        <f t="shared" si="202"/>
        <v>6</v>
      </c>
      <c r="I337" s="4" t="str">
        <f t="shared" si="189"/>
        <v>00110</v>
      </c>
      <c r="J337" s="1" t="s">
        <v>44</v>
      </c>
      <c r="K337" s="11" t="s">
        <v>204</v>
      </c>
    </row>
    <row r="338" spans="1:11" x14ac:dyDescent="0.25">
      <c r="B338" s="3">
        <f t="shared" si="200"/>
        <v>114</v>
      </c>
      <c r="C338" s="4" t="str">
        <f t="shared" si="199"/>
        <v>01110010</v>
      </c>
      <c r="D338" s="2" t="str">
        <f t="shared" si="201"/>
        <v>72</v>
      </c>
      <c r="E338" s="1"/>
      <c r="F338" s="12"/>
      <c r="G338" s="12"/>
      <c r="H338" s="11">
        <f t="shared" si="202"/>
        <v>7</v>
      </c>
      <c r="I338" s="4" t="str">
        <f t="shared" si="189"/>
        <v>00111</v>
      </c>
      <c r="J338" s="1" t="s">
        <v>53</v>
      </c>
      <c r="K338" s="11"/>
    </row>
    <row r="339" spans="1:11" x14ac:dyDescent="0.25">
      <c r="B339" s="3">
        <f t="shared" si="200"/>
        <v>114</v>
      </c>
      <c r="C339" s="4" t="str">
        <f t="shared" si="199"/>
        <v>01110010</v>
      </c>
      <c r="D339" s="2" t="str">
        <f t="shared" si="201"/>
        <v>72</v>
      </c>
      <c r="H339" s="11">
        <f t="shared" si="202"/>
        <v>8</v>
      </c>
      <c r="I339" s="4" t="str">
        <f t="shared" si="189"/>
        <v>01000</v>
      </c>
      <c r="J339" s="11" t="s">
        <v>192</v>
      </c>
      <c r="K339" s="11" t="s">
        <v>49</v>
      </c>
    </row>
    <row r="340" spans="1:11" x14ac:dyDescent="0.25">
      <c r="B340" s="3">
        <f>(B332)</f>
        <v>114</v>
      </c>
      <c r="C340" s="4" t="str">
        <f t="shared" si="199"/>
        <v>01110010</v>
      </c>
      <c r="D340" s="2" t="str">
        <f t="shared" si="201"/>
        <v>72</v>
      </c>
      <c r="H340" s="11">
        <f>H339+1</f>
        <v>9</v>
      </c>
      <c r="I340" s="4" t="str">
        <f t="shared" si="189"/>
        <v>01001</v>
      </c>
      <c r="J340" s="1" t="s">
        <v>236</v>
      </c>
      <c r="K340" s="1" t="s">
        <v>238</v>
      </c>
    </row>
    <row r="341" spans="1:11" s="50" customFormat="1" x14ac:dyDescent="0.25">
      <c r="A341" s="44"/>
      <c r="B341" s="51"/>
      <c r="C341" s="52"/>
      <c r="D341" s="53"/>
      <c r="E341" s="54"/>
      <c r="F341" s="55"/>
      <c r="G341" s="55"/>
      <c r="H341" s="11"/>
      <c r="I341" s="4"/>
      <c r="J341" s="1"/>
      <c r="K341" s="54"/>
    </row>
    <row r="342" spans="1:11" s="50" customFormat="1" ht="15" customHeight="1" x14ac:dyDescent="0.25">
      <c r="A342" s="64" t="s">
        <v>113</v>
      </c>
      <c r="B342" s="69">
        <v>115</v>
      </c>
      <c r="C342" s="4" t="str">
        <f t="shared" ref="C342:C346" si="203">TEXT(DEC2BIN(B342), "00000000")</f>
        <v>01110011</v>
      </c>
      <c r="D342" s="2" t="str">
        <f>DEC2HEX(B342)</f>
        <v>73</v>
      </c>
      <c r="E342" s="1" t="s">
        <v>162</v>
      </c>
      <c r="F342" s="71"/>
      <c r="G342" s="71"/>
      <c r="H342" s="11">
        <v>0</v>
      </c>
      <c r="I342" s="4" t="str">
        <f>TEXT(DEC2BIN(H342), "00000")</f>
        <v>00000</v>
      </c>
      <c r="J342" s="1" t="s">
        <v>14</v>
      </c>
      <c r="K342" s="1" t="s">
        <v>18</v>
      </c>
    </row>
    <row r="343" spans="1:11" s="50" customFormat="1" ht="15" customHeight="1" x14ac:dyDescent="0.25">
      <c r="A343" s="64"/>
      <c r="B343" s="3">
        <f t="shared" ref="B343:B345" si="204">(B342)</f>
        <v>115</v>
      </c>
      <c r="C343" s="4" t="str">
        <f t="shared" si="203"/>
        <v>01110011</v>
      </c>
      <c r="D343" s="2" t="str">
        <f t="shared" ref="D343:D346" si="205">DEC2HEX(B343)</f>
        <v>73</v>
      </c>
      <c r="F343" s="71"/>
      <c r="G343" s="71"/>
      <c r="H343" s="11">
        <f t="shared" ref="H343:H346" si="206">H342+1</f>
        <v>1</v>
      </c>
      <c r="I343" s="4" t="str">
        <f>TEXT(DEC2BIN(H343), "00000")</f>
        <v>00001</v>
      </c>
      <c r="J343" s="1" t="s">
        <v>13</v>
      </c>
    </row>
    <row r="344" spans="1:11" s="64" customFormat="1" ht="15" customHeight="1" x14ac:dyDescent="0.25">
      <c r="A344" s="60"/>
      <c r="B344" s="3">
        <f t="shared" si="204"/>
        <v>115</v>
      </c>
      <c r="C344" s="4" t="str">
        <f t="shared" si="203"/>
        <v>01110011</v>
      </c>
      <c r="D344" s="2" t="str">
        <f t="shared" si="205"/>
        <v>73</v>
      </c>
      <c r="E344" s="65"/>
      <c r="F344" s="66"/>
      <c r="G344" s="66"/>
      <c r="H344" s="11">
        <f t="shared" si="206"/>
        <v>2</v>
      </c>
      <c r="I344" s="4" t="str">
        <f>TEXT(DEC2BIN(H344), "00000")</f>
        <v>00010</v>
      </c>
      <c r="J344" s="1" t="s">
        <v>167</v>
      </c>
      <c r="K344" s="65"/>
    </row>
    <row r="345" spans="1:11" s="64" customFormat="1" ht="15" customHeight="1" x14ac:dyDescent="0.25">
      <c r="A345" s="60"/>
      <c r="B345" s="3">
        <f t="shared" si="204"/>
        <v>115</v>
      </c>
      <c r="C345" s="4" t="str">
        <f t="shared" si="203"/>
        <v>01110011</v>
      </c>
      <c r="D345" s="2" t="str">
        <f t="shared" si="205"/>
        <v>73</v>
      </c>
      <c r="E345" s="65"/>
      <c r="F345" s="66"/>
      <c r="G345" s="66"/>
      <c r="H345" s="11">
        <f t="shared" si="206"/>
        <v>3</v>
      </c>
      <c r="I345" s="4" t="str">
        <f>TEXT(DEC2BIN(H345), "00000")</f>
        <v>00011</v>
      </c>
      <c r="J345" s="1" t="s">
        <v>168</v>
      </c>
      <c r="K345" s="65"/>
    </row>
    <row r="346" spans="1:11" x14ac:dyDescent="0.25">
      <c r="B346" s="3">
        <f>(B343)</f>
        <v>115</v>
      </c>
      <c r="C346" s="4" t="str">
        <f t="shared" si="203"/>
        <v>01110011</v>
      </c>
      <c r="D346" s="2" t="str">
        <f t="shared" si="205"/>
        <v>73</v>
      </c>
      <c r="H346" s="11">
        <f t="shared" si="206"/>
        <v>4</v>
      </c>
      <c r="I346" s="4" t="str">
        <f>TEXT(DEC2BIN(H346), "00000")</f>
        <v>00100</v>
      </c>
      <c r="J346" s="1" t="s">
        <v>236</v>
      </c>
      <c r="K346" s="1" t="s">
        <v>238</v>
      </c>
    </row>
    <row r="347" spans="1:11" s="50" customFormat="1" ht="15" customHeight="1" x14ac:dyDescent="0.25">
      <c r="A347" s="64"/>
      <c r="B347" s="69"/>
      <c r="D347" s="72"/>
      <c r="F347" s="71"/>
      <c r="G347" s="71"/>
      <c r="H347" s="11"/>
      <c r="I347" s="4"/>
      <c r="J347" s="1"/>
    </row>
    <row r="348" spans="1:11" s="50" customFormat="1" ht="15" customHeight="1" x14ac:dyDescent="0.25">
      <c r="A348" s="64" t="s">
        <v>114</v>
      </c>
      <c r="B348" s="69">
        <v>116</v>
      </c>
      <c r="C348" s="4" t="str">
        <f t="shared" ref="C348:C352" si="207">TEXT(DEC2BIN(B348), "00000000")</f>
        <v>01110100</v>
      </c>
      <c r="D348" s="2" t="str">
        <f>DEC2HEX(B348)</f>
        <v>74</v>
      </c>
      <c r="E348" s="1" t="s">
        <v>163</v>
      </c>
      <c r="F348" s="71"/>
      <c r="G348" s="71"/>
      <c r="H348" s="11">
        <v>0</v>
      </c>
      <c r="I348" s="4" t="str">
        <f>TEXT(DEC2BIN(H348), "00000")</f>
        <v>00000</v>
      </c>
      <c r="J348" s="1" t="s">
        <v>14</v>
      </c>
      <c r="K348" s="1" t="s">
        <v>18</v>
      </c>
    </row>
    <row r="349" spans="1:11" s="50" customFormat="1" ht="15" customHeight="1" x14ac:dyDescent="0.25">
      <c r="A349" s="64"/>
      <c r="B349" s="3">
        <f t="shared" ref="B349:B351" si="208">(B348)</f>
        <v>116</v>
      </c>
      <c r="C349" s="4" t="str">
        <f t="shared" si="207"/>
        <v>01110100</v>
      </c>
      <c r="D349" s="2" t="str">
        <f t="shared" ref="D349:D352" si="209">DEC2HEX(B349)</f>
        <v>74</v>
      </c>
      <c r="F349" s="71"/>
      <c r="G349" s="71"/>
      <c r="H349" s="11">
        <f t="shared" ref="H349:H352" si="210">H348+1</f>
        <v>1</v>
      </c>
      <c r="I349" s="4" t="str">
        <f>TEXT(DEC2BIN(H349), "00000")</f>
        <v>00001</v>
      </c>
      <c r="J349" s="1" t="s">
        <v>13</v>
      </c>
    </row>
    <row r="350" spans="1:11" s="64" customFormat="1" ht="15" customHeight="1" x14ac:dyDescent="0.25">
      <c r="A350" s="60"/>
      <c r="B350" s="3">
        <f t="shared" si="208"/>
        <v>116</v>
      </c>
      <c r="C350" s="4" t="str">
        <f t="shared" si="207"/>
        <v>01110100</v>
      </c>
      <c r="D350" s="2" t="str">
        <f t="shared" si="209"/>
        <v>74</v>
      </c>
      <c r="E350" s="65"/>
      <c r="F350" s="66"/>
      <c r="G350" s="66"/>
      <c r="H350" s="11">
        <f t="shared" si="210"/>
        <v>2</v>
      </c>
      <c r="I350" s="4" t="str">
        <f>TEXT(DEC2BIN(H350), "00000")</f>
        <v>00010</v>
      </c>
      <c r="J350" s="1" t="s">
        <v>169</v>
      </c>
      <c r="K350" s="65"/>
    </row>
    <row r="351" spans="1:11" s="64" customFormat="1" ht="15" customHeight="1" x14ac:dyDescent="0.25">
      <c r="A351" s="60"/>
      <c r="B351" s="3">
        <f t="shared" si="208"/>
        <v>116</v>
      </c>
      <c r="C351" s="4" t="str">
        <f t="shared" si="207"/>
        <v>01110100</v>
      </c>
      <c r="D351" s="2" t="str">
        <f t="shared" si="209"/>
        <v>74</v>
      </c>
      <c r="E351" s="65"/>
      <c r="F351" s="66"/>
      <c r="G351" s="66"/>
      <c r="H351" s="11">
        <f t="shared" si="210"/>
        <v>3</v>
      </c>
      <c r="I351" s="4" t="str">
        <f>TEXT(DEC2BIN(H351), "00000")</f>
        <v>00011</v>
      </c>
      <c r="J351" s="1" t="s">
        <v>170</v>
      </c>
      <c r="K351" s="65"/>
    </row>
    <row r="352" spans="1:11" x14ac:dyDescent="0.25">
      <c r="B352" s="3">
        <f>(B349)</f>
        <v>116</v>
      </c>
      <c r="C352" s="4" t="str">
        <f t="shared" si="207"/>
        <v>01110100</v>
      </c>
      <c r="D352" s="2" t="str">
        <f t="shared" si="209"/>
        <v>74</v>
      </c>
      <c r="H352" s="11">
        <f t="shared" si="210"/>
        <v>4</v>
      </c>
      <c r="I352" s="4" t="str">
        <f>TEXT(DEC2BIN(H352), "00000")</f>
        <v>00100</v>
      </c>
      <c r="J352" s="1" t="s">
        <v>236</v>
      </c>
      <c r="K352" s="1" t="s">
        <v>238</v>
      </c>
    </row>
    <row r="353" spans="1:11" s="50" customFormat="1" ht="15" customHeight="1" x14ac:dyDescent="0.25">
      <c r="A353" s="64"/>
      <c r="B353" s="69"/>
      <c r="D353" s="72"/>
      <c r="F353" s="71"/>
      <c r="G353" s="71"/>
      <c r="H353" s="11"/>
      <c r="I353" s="4"/>
      <c r="J353" s="1"/>
    </row>
    <row r="354" spans="1:11" s="50" customFormat="1" ht="15" customHeight="1" x14ac:dyDescent="0.25">
      <c r="A354" s="64" t="s">
        <v>115</v>
      </c>
      <c r="B354" s="69">
        <v>117</v>
      </c>
      <c r="C354" s="4" t="str">
        <f t="shared" ref="C354:C358" si="211">TEXT(DEC2BIN(B354), "00000000")</f>
        <v>01110101</v>
      </c>
      <c r="D354" s="2" t="str">
        <f>DEC2HEX(B354)</f>
        <v>75</v>
      </c>
      <c r="E354" s="1" t="s">
        <v>164</v>
      </c>
      <c r="F354" s="71"/>
      <c r="G354" s="71"/>
      <c r="H354" s="11">
        <v>0</v>
      </c>
      <c r="I354" s="4" t="str">
        <f>TEXT(DEC2BIN(H354), "00000")</f>
        <v>00000</v>
      </c>
      <c r="J354" s="1" t="s">
        <v>14</v>
      </c>
      <c r="K354" s="1" t="s">
        <v>18</v>
      </c>
    </row>
    <row r="355" spans="1:11" s="50" customFormat="1" ht="15" customHeight="1" x14ac:dyDescent="0.25">
      <c r="A355" s="64"/>
      <c r="B355" s="3">
        <f t="shared" ref="B355:B357" si="212">(B354)</f>
        <v>117</v>
      </c>
      <c r="C355" s="4" t="str">
        <f t="shared" si="211"/>
        <v>01110101</v>
      </c>
      <c r="D355" s="2" t="str">
        <f t="shared" ref="D355:D358" si="213">DEC2HEX(B355)</f>
        <v>75</v>
      </c>
      <c r="F355" s="71"/>
      <c r="G355" s="71"/>
      <c r="H355" s="11">
        <f t="shared" ref="H355:H358" si="214">H354+1</f>
        <v>1</v>
      </c>
      <c r="I355" s="4" t="str">
        <f>TEXT(DEC2BIN(H355), "00000")</f>
        <v>00001</v>
      </c>
      <c r="J355" s="1" t="s">
        <v>13</v>
      </c>
    </row>
    <row r="356" spans="1:11" s="64" customFormat="1" ht="15" customHeight="1" x14ac:dyDescent="0.25">
      <c r="A356" s="60"/>
      <c r="B356" s="3">
        <f t="shared" si="212"/>
        <v>117</v>
      </c>
      <c r="C356" s="4" t="str">
        <f t="shared" si="211"/>
        <v>01110101</v>
      </c>
      <c r="D356" s="2" t="str">
        <f t="shared" si="213"/>
        <v>75</v>
      </c>
      <c r="E356" s="65"/>
      <c r="F356" s="66"/>
      <c r="G356" s="66"/>
      <c r="H356" s="11">
        <f t="shared" si="214"/>
        <v>2</v>
      </c>
      <c r="I356" s="4" t="str">
        <f>TEXT(DEC2BIN(H356), "00000")</f>
        <v>00010</v>
      </c>
      <c r="J356" s="1" t="s">
        <v>171</v>
      </c>
      <c r="K356" s="65"/>
    </row>
    <row r="357" spans="1:11" s="64" customFormat="1" ht="15" customHeight="1" x14ac:dyDescent="0.25">
      <c r="A357" s="60"/>
      <c r="B357" s="3">
        <f t="shared" si="212"/>
        <v>117</v>
      </c>
      <c r="C357" s="4" t="str">
        <f t="shared" si="211"/>
        <v>01110101</v>
      </c>
      <c r="D357" s="2" t="str">
        <f t="shared" si="213"/>
        <v>75</v>
      </c>
      <c r="E357" s="65"/>
      <c r="F357" s="66"/>
      <c r="G357" s="66"/>
      <c r="H357" s="11">
        <f t="shared" si="214"/>
        <v>3</v>
      </c>
      <c r="I357" s="4" t="str">
        <f>TEXT(DEC2BIN(H357), "00000")</f>
        <v>00011</v>
      </c>
      <c r="J357" s="1" t="s">
        <v>172</v>
      </c>
      <c r="K357" s="65"/>
    </row>
    <row r="358" spans="1:11" x14ac:dyDescent="0.25">
      <c r="B358" s="3">
        <f>(B355)</f>
        <v>117</v>
      </c>
      <c r="C358" s="4" t="str">
        <f t="shared" si="211"/>
        <v>01110101</v>
      </c>
      <c r="D358" s="2" t="str">
        <f t="shared" si="213"/>
        <v>75</v>
      </c>
      <c r="H358" s="11">
        <f t="shared" si="214"/>
        <v>4</v>
      </c>
      <c r="I358" s="4" t="str">
        <f>TEXT(DEC2BIN(H358), "00000")</f>
        <v>00100</v>
      </c>
      <c r="J358" s="1" t="s">
        <v>236</v>
      </c>
      <c r="K358" s="1" t="s">
        <v>238</v>
      </c>
    </row>
    <row r="359" spans="1:11" s="50" customFormat="1" ht="15" customHeight="1" x14ac:dyDescent="0.25">
      <c r="A359" s="64"/>
      <c r="B359" s="69"/>
      <c r="D359" s="72"/>
      <c r="F359" s="71"/>
      <c r="G359" s="71"/>
      <c r="H359" s="11"/>
      <c r="I359" s="4"/>
      <c r="J359" s="1"/>
    </row>
    <row r="360" spans="1:11" s="50" customFormat="1" ht="15" customHeight="1" x14ac:dyDescent="0.25">
      <c r="A360" s="64" t="s">
        <v>116</v>
      </c>
      <c r="B360" s="69">
        <v>118</v>
      </c>
      <c r="C360" s="4" t="str">
        <f t="shared" ref="C360:C364" si="215">TEXT(DEC2BIN(B360), "00000000")</f>
        <v>01110110</v>
      </c>
      <c r="D360" s="2" t="str">
        <f>DEC2HEX(B360)</f>
        <v>76</v>
      </c>
      <c r="E360" s="1" t="s">
        <v>165</v>
      </c>
      <c r="F360" s="71"/>
      <c r="G360" s="71"/>
      <c r="H360" s="11">
        <v>0</v>
      </c>
      <c r="I360" s="4" t="str">
        <f>TEXT(DEC2BIN(H360), "00000")</f>
        <v>00000</v>
      </c>
      <c r="J360" s="1" t="s">
        <v>14</v>
      </c>
      <c r="K360" s="1" t="s">
        <v>18</v>
      </c>
    </row>
    <row r="361" spans="1:11" s="50" customFormat="1" ht="15" customHeight="1" x14ac:dyDescent="0.25">
      <c r="A361" s="64"/>
      <c r="B361" s="3">
        <f t="shared" ref="B361:B363" si="216">(B360)</f>
        <v>118</v>
      </c>
      <c r="C361" s="4" t="str">
        <f t="shared" si="215"/>
        <v>01110110</v>
      </c>
      <c r="D361" s="2" t="str">
        <f t="shared" ref="D361:D364" si="217">DEC2HEX(B361)</f>
        <v>76</v>
      </c>
      <c r="F361" s="71"/>
      <c r="G361" s="71"/>
      <c r="H361" s="11">
        <f t="shared" ref="H361:H364" si="218">H360+1</f>
        <v>1</v>
      </c>
      <c r="I361" s="4" t="str">
        <f>TEXT(DEC2BIN(H361), "00000")</f>
        <v>00001</v>
      </c>
      <c r="J361" s="1" t="s">
        <v>13</v>
      </c>
    </row>
    <row r="362" spans="1:11" s="64" customFormat="1" ht="15" customHeight="1" x14ac:dyDescent="0.25">
      <c r="A362" s="60"/>
      <c r="B362" s="3">
        <f t="shared" si="216"/>
        <v>118</v>
      </c>
      <c r="C362" s="4" t="str">
        <f t="shared" si="215"/>
        <v>01110110</v>
      </c>
      <c r="D362" s="2" t="str">
        <f t="shared" si="217"/>
        <v>76</v>
      </c>
      <c r="E362" s="65"/>
      <c r="F362" s="66"/>
      <c r="G362" s="66"/>
      <c r="H362" s="11">
        <f t="shared" si="218"/>
        <v>2</v>
      </c>
      <c r="I362" s="4" t="str">
        <f>TEXT(DEC2BIN(H362), "00000")</f>
        <v>00010</v>
      </c>
      <c r="J362" s="1" t="s">
        <v>173</v>
      </c>
      <c r="K362" s="65"/>
    </row>
    <row r="363" spans="1:11" s="64" customFormat="1" ht="15" customHeight="1" x14ac:dyDescent="0.25">
      <c r="A363" s="60"/>
      <c r="B363" s="3">
        <f t="shared" si="216"/>
        <v>118</v>
      </c>
      <c r="C363" s="4" t="str">
        <f t="shared" si="215"/>
        <v>01110110</v>
      </c>
      <c r="D363" s="2" t="str">
        <f t="shared" si="217"/>
        <v>76</v>
      </c>
      <c r="E363" s="65"/>
      <c r="F363" s="66"/>
      <c r="G363" s="66"/>
      <c r="H363" s="11">
        <f t="shared" si="218"/>
        <v>3</v>
      </c>
      <c r="I363" s="4" t="str">
        <f>TEXT(DEC2BIN(H363), "00000")</f>
        <v>00011</v>
      </c>
      <c r="J363" s="1" t="s">
        <v>217</v>
      </c>
      <c r="K363" s="65"/>
    </row>
    <row r="364" spans="1:11" x14ac:dyDescent="0.25">
      <c r="B364" s="3">
        <f>(B361)</f>
        <v>118</v>
      </c>
      <c r="C364" s="4" t="str">
        <f t="shared" si="215"/>
        <v>01110110</v>
      </c>
      <c r="D364" s="2" t="str">
        <f t="shared" si="217"/>
        <v>76</v>
      </c>
      <c r="H364" s="11">
        <f t="shared" si="218"/>
        <v>4</v>
      </c>
      <c r="I364" s="4" t="str">
        <f>TEXT(DEC2BIN(H364), "00000")</f>
        <v>00100</v>
      </c>
      <c r="J364" s="1" t="s">
        <v>236</v>
      </c>
      <c r="K364" s="1" t="s">
        <v>238</v>
      </c>
    </row>
    <row r="365" spans="1:11" s="50" customFormat="1" ht="15" customHeight="1" x14ac:dyDescent="0.25">
      <c r="A365" s="64"/>
      <c r="B365" s="69"/>
      <c r="D365" s="72"/>
      <c r="F365" s="71"/>
      <c r="G365" s="71"/>
      <c r="H365" s="11"/>
      <c r="I365" s="4"/>
      <c r="J365" s="1"/>
    </row>
    <row r="366" spans="1:11" s="50" customFormat="1" ht="15" customHeight="1" x14ac:dyDescent="0.25">
      <c r="A366" s="64" t="s">
        <v>166</v>
      </c>
      <c r="B366" s="69">
        <v>119</v>
      </c>
      <c r="C366" s="4" t="str">
        <f t="shared" ref="C366:C370" si="219">TEXT(DEC2BIN(B366), "00000000")</f>
        <v>01110111</v>
      </c>
      <c r="D366" s="2" t="str">
        <f>DEC2HEX(B366)</f>
        <v>77</v>
      </c>
      <c r="E366" s="1" t="s">
        <v>137</v>
      </c>
      <c r="F366" s="71"/>
      <c r="G366" s="71"/>
      <c r="H366" s="11">
        <v>0</v>
      </c>
      <c r="I366" s="4" t="str">
        <f>TEXT(DEC2BIN(H366), "00000")</f>
        <v>00000</v>
      </c>
      <c r="J366" s="1" t="s">
        <v>14</v>
      </c>
      <c r="K366" s="1" t="s">
        <v>18</v>
      </c>
    </row>
    <row r="367" spans="1:11" s="50" customFormat="1" x14ac:dyDescent="0.25">
      <c r="B367" s="3">
        <f t="shared" ref="B367:B369" si="220">(B366)</f>
        <v>119</v>
      </c>
      <c r="C367" s="4" t="str">
        <f t="shared" si="219"/>
        <v>01110111</v>
      </c>
      <c r="D367" s="2" t="str">
        <f t="shared" ref="D367:D370" si="221">DEC2HEX(B367)</f>
        <v>77</v>
      </c>
      <c r="F367" s="71"/>
      <c r="G367" s="71"/>
      <c r="H367" s="11">
        <f t="shared" ref="H367:H370" si="222">H366+1</f>
        <v>1</v>
      </c>
      <c r="I367" s="4" t="str">
        <f>TEXT(DEC2BIN(H367), "00000")</f>
        <v>00001</v>
      </c>
      <c r="J367" s="1" t="s">
        <v>13</v>
      </c>
    </row>
    <row r="368" spans="1:11" s="64" customFormat="1" ht="15" customHeight="1" x14ac:dyDescent="0.25">
      <c r="A368" s="60"/>
      <c r="B368" s="3">
        <f t="shared" si="220"/>
        <v>119</v>
      </c>
      <c r="C368" s="4" t="str">
        <f t="shared" si="219"/>
        <v>01110111</v>
      </c>
      <c r="D368" s="2" t="str">
        <f t="shared" si="221"/>
        <v>77</v>
      </c>
      <c r="E368" s="65"/>
      <c r="F368" s="66"/>
      <c r="G368" s="66"/>
      <c r="H368" s="11">
        <f t="shared" si="222"/>
        <v>2</v>
      </c>
      <c r="I368" s="4" t="str">
        <f>TEXT(DEC2BIN(H368), "00000")</f>
        <v>00010</v>
      </c>
      <c r="J368" s="1" t="s">
        <v>174</v>
      </c>
      <c r="K368" s="65"/>
    </row>
    <row r="369" spans="1:11" s="64" customFormat="1" ht="15" customHeight="1" x14ac:dyDescent="0.25">
      <c r="A369" s="60"/>
      <c r="B369" s="3">
        <f t="shared" si="220"/>
        <v>119</v>
      </c>
      <c r="C369" s="4" t="str">
        <f t="shared" si="219"/>
        <v>01110111</v>
      </c>
      <c r="D369" s="2" t="str">
        <f t="shared" si="221"/>
        <v>77</v>
      </c>
      <c r="E369" s="65"/>
      <c r="F369" s="66"/>
      <c r="G369" s="66"/>
      <c r="H369" s="11">
        <f t="shared" si="222"/>
        <v>3</v>
      </c>
      <c r="I369" s="4" t="str">
        <f>TEXT(DEC2BIN(H369), "00000")</f>
        <v>00011</v>
      </c>
      <c r="J369" s="1" t="s">
        <v>175</v>
      </c>
      <c r="K369" s="65"/>
    </row>
    <row r="370" spans="1:11" x14ac:dyDescent="0.25">
      <c r="B370" s="3">
        <f>(B367)</f>
        <v>119</v>
      </c>
      <c r="C370" s="4" t="str">
        <f t="shared" si="219"/>
        <v>01110111</v>
      </c>
      <c r="D370" s="2" t="str">
        <f t="shared" si="221"/>
        <v>77</v>
      </c>
      <c r="H370" s="11">
        <f t="shared" si="222"/>
        <v>4</v>
      </c>
      <c r="I370" s="4" t="str">
        <f t="shared" ref="I370" si="223">TEXT(DEC2BIN(H370), "00000")</f>
        <v>00100</v>
      </c>
      <c r="J370" s="1" t="s">
        <v>236</v>
      </c>
      <c r="K370" s="1" t="s">
        <v>238</v>
      </c>
    </row>
    <row r="371" spans="1:11" s="50" customFormat="1" ht="15" customHeight="1" x14ac:dyDescent="0.25">
      <c r="A371" s="44"/>
      <c r="B371" s="45"/>
      <c r="C371" s="46"/>
      <c r="D371" s="47"/>
      <c r="E371" s="48"/>
      <c r="F371" s="49"/>
      <c r="G371" s="49"/>
      <c r="H371" s="11"/>
      <c r="I371" s="4"/>
      <c r="J371" s="1"/>
      <c r="K371" s="48"/>
    </row>
    <row r="372" spans="1:11" s="88" customFormat="1" ht="15" customHeight="1" x14ac:dyDescent="0.25">
      <c r="A372" s="100" t="s">
        <v>193</v>
      </c>
      <c r="B372" s="101">
        <v>128</v>
      </c>
      <c r="C372" s="79" t="str">
        <f t="shared" ref="C372:C376" si="224">TEXT(DEC2BIN(B372), "00000000")</f>
        <v>10000000</v>
      </c>
      <c r="D372" s="80" t="str">
        <f>DEC2HEX(B372)</f>
        <v>80</v>
      </c>
      <c r="E372" s="81" t="s">
        <v>194</v>
      </c>
      <c r="F372" s="102"/>
      <c r="G372" s="102"/>
      <c r="H372" s="87">
        <v>0</v>
      </c>
      <c r="I372" s="79" t="str">
        <f t="shared" ref="I372:I380" si="225">TEXT(DEC2BIN(H372), "00000")</f>
        <v>00000</v>
      </c>
      <c r="J372" s="81" t="s">
        <v>14</v>
      </c>
      <c r="K372" s="81" t="s">
        <v>18</v>
      </c>
    </row>
    <row r="373" spans="1:11" s="50" customFormat="1" x14ac:dyDescent="0.25">
      <c r="B373" s="3">
        <f t="shared" ref="B373:B381" si="226">(B372)</f>
        <v>128</v>
      </c>
      <c r="C373" s="4" t="str">
        <f t="shared" si="224"/>
        <v>10000000</v>
      </c>
      <c r="D373" s="2" t="str">
        <f t="shared" ref="D373:D376" si="227">DEC2HEX(B373)</f>
        <v>80</v>
      </c>
      <c r="F373" s="71"/>
      <c r="G373" s="71"/>
      <c r="H373" s="11">
        <f t="shared" ref="H373:H381" si="228">H372+1</f>
        <v>1</v>
      </c>
      <c r="I373" s="4" t="str">
        <f t="shared" si="225"/>
        <v>00001</v>
      </c>
      <c r="J373" s="1" t="s">
        <v>13</v>
      </c>
      <c r="K373" s="54"/>
    </row>
    <row r="374" spans="1:11" s="64" customFormat="1" ht="15" customHeight="1" x14ac:dyDescent="0.25">
      <c r="A374" s="60"/>
      <c r="B374" s="3">
        <f t="shared" si="226"/>
        <v>128</v>
      </c>
      <c r="C374" s="4" t="str">
        <f t="shared" si="224"/>
        <v>10000000</v>
      </c>
      <c r="D374" s="2" t="str">
        <f t="shared" si="227"/>
        <v>80</v>
      </c>
      <c r="E374" s="65"/>
      <c r="F374" s="66"/>
      <c r="G374" s="66"/>
      <c r="H374" s="11">
        <f t="shared" si="228"/>
        <v>2</v>
      </c>
      <c r="I374" s="4" t="str">
        <f t="shared" si="225"/>
        <v>00010</v>
      </c>
      <c r="J374" s="11" t="s">
        <v>15</v>
      </c>
      <c r="K374" s="11" t="s">
        <v>21</v>
      </c>
    </row>
    <row r="375" spans="1:11" s="64" customFormat="1" ht="15" customHeight="1" x14ac:dyDescent="0.25">
      <c r="A375" s="60"/>
      <c r="B375" s="3">
        <f t="shared" si="226"/>
        <v>128</v>
      </c>
      <c r="C375" s="4" t="str">
        <f t="shared" si="224"/>
        <v>10000000</v>
      </c>
      <c r="D375" s="2" t="str">
        <f t="shared" si="227"/>
        <v>80</v>
      </c>
      <c r="E375" s="65"/>
      <c r="F375" s="66"/>
      <c r="G375" s="66"/>
      <c r="H375" s="11">
        <f t="shared" si="228"/>
        <v>3</v>
      </c>
      <c r="I375" s="4" t="str">
        <f t="shared" si="225"/>
        <v>00011</v>
      </c>
      <c r="J375" s="1" t="s">
        <v>195</v>
      </c>
      <c r="K375" s="11" t="s">
        <v>199</v>
      </c>
    </row>
    <row r="376" spans="1:11" x14ac:dyDescent="0.25">
      <c r="B376" s="3">
        <f t="shared" si="226"/>
        <v>128</v>
      </c>
      <c r="C376" s="4" t="str">
        <f t="shared" si="224"/>
        <v>10000000</v>
      </c>
      <c r="D376" s="2" t="str">
        <f t="shared" si="227"/>
        <v>80</v>
      </c>
      <c r="H376" s="11">
        <f t="shared" si="228"/>
        <v>4</v>
      </c>
      <c r="I376" s="4" t="str">
        <f t="shared" si="225"/>
        <v>00100</v>
      </c>
      <c r="J376" s="1" t="s">
        <v>196</v>
      </c>
      <c r="K376" s="1"/>
    </row>
    <row r="377" spans="1:11" s="50" customFormat="1" ht="15" customHeight="1" x14ac:dyDescent="0.25">
      <c r="A377" s="44"/>
      <c r="B377" s="3">
        <f t="shared" si="226"/>
        <v>128</v>
      </c>
      <c r="C377" s="4" t="str">
        <f t="shared" ref="C377:C379" si="229">TEXT(DEC2BIN(B377), "00000000")</f>
        <v>10000000</v>
      </c>
      <c r="D377" s="2" t="str">
        <f t="shared" ref="D377:D379" si="230">DEC2HEX(B377)</f>
        <v>80</v>
      </c>
      <c r="E377" s="54"/>
      <c r="F377" s="55"/>
      <c r="G377" s="55"/>
      <c r="H377" s="11">
        <f t="shared" si="228"/>
        <v>5</v>
      </c>
      <c r="I377" s="4" t="str">
        <f t="shared" si="225"/>
        <v>00101</v>
      </c>
      <c r="J377" s="11" t="s">
        <v>15</v>
      </c>
      <c r="K377" s="11" t="s">
        <v>21</v>
      </c>
    </row>
    <row r="378" spans="1:11" s="50" customFormat="1" ht="15" customHeight="1" x14ac:dyDescent="0.25">
      <c r="A378" s="64"/>
      <c r="B378" s="3">
        <f t="shared" si="226"/>
        <v>128</v>
      </c>
      <c r="C378" s="4" t="str">
        <f t="shared" si="229"/>
        <v>10000000</v>
      </c>
      <c r="D378" s="2" t="str">
        <f t="shared" si="230"/>
        <v>80</v>
      </c>
      <c r="E378" s="73"/>
      <c r="F378" s="74"/>
      <c r="G378" s="74"/>
      <c r="H378" s="11">
        <f t="shared" si="228"/>
        <v>6</v>
      </c>
      <c r="I378" s="4" t="str">
        <f t="shared" si="225"/>
        <v>00110</v>
      </c>
      <c r="J378" s="1" t="s">
        <v>195</v>
      </c>
      <c r="K378" s="11" t="s">
        <v>200</v>
      </c>
    </row>
    <row r="379" spans="1:11" s="50" customFormat="1" x14ac:dyDescent="0.25">
      <c r="B379" s="3">
        <f t="shared" si="226"/>
        <v>128</v>
      </c>
      <c r="C379" s="4" t="str">
        <f t="shared" si="229"/>
        <v>10000000</v>
      </c>
      <c r="D379" s="2" t="str">
        <f t="shared" si="230"/>
        <v>80</v>
      </c>
      <c r="F379" s="71"/>
      <c r="G379" s="71"/>
      <c r="H379" s="11">
        <f t="shared" si="228"/>
        <v>7</v>
      </c>
      <c r="I379" s="4" t="str">
        <f t="shared" si="225"/>
        <v>00111</v>
      </c>
      <c r="J379" s="1" t="s">
        <v>202</v>
      </c>
      <c r="K379" s="11"/>
    </row>
    <row r="380" spans="1:11" s="50" customFormat="1" x14ac:dyDescent="0.25">
      <c r="B380" s="3">
        <f t="shared" si="226"/>
        <v>128</v>
      </c>
      <c r="C380" s="4" t="str">
        <f t="shared" ref="C380:C381" si="231">TEXT(DEC2BIN(B380), "00000000")</f>
        <v>10000000</v>
      </c>
      <c r="D380" s="2" t="str">
        <f t="shared" ref="D380:D381" si="232">DEC2HEX(B380)</f>
        <v>80</v>
      </c>
      <c r="F380" s="71"/>
      <c r="G380" s="71"/>
      <c r="H380" s="11">
        <f t="shared" si="228"/>
        <v>8</v>
      </c>
      <c r="I380" s="4" t="str">
        <f t="shared" si="225"/>
        <v>01000</v>
      </c>
      <c r="J380" s="1" t="s">
        <v>201</v>
      </c>
      <c r="K380" s="1" t="s">
        <v>205</v>
      </c>
    </row>
    <row r="381" spans="1:11" s="50" customFormat="1" x14ac:dyDescent="0.25">
      <c r="B381" s="3">
        <f t="shared" si="226"/>
        <v>128</v>
      </c>
      <c r="C381" s="4" t="str">
        <f t="shared" si="231"/>
        <v>10000000</v>
      </c>
      <c r="D381" s="2" t="str">
        <f t="shared" si="232"/>
        <v>80</v>
      </c>
      <c r="F381" s="71"/>
      <c r="G381" s="71"/>
      <c r="H381" s="11">
        <f t="shared" si="228"/>
        <v>9</v>
      </c>
      <c r="I381" s="4" t="str">
        <f t="shared" ref="I381" si="233">TEXT(DEC2BIN(H381), "00000")</f>
        <v>01001</v>
      </c>
      <c r="J381" s="1" t="s">
        <v>237</v>
      </c>
      <c r="K381" s="1" t="s">
        <v>240</v>
      </c>
    </row>
    <row r="382" spans="1:11" s="50" customFormat="1" x14ac:dyDescent="0.25">
      <c r="B382" s="69"/>
      <c r="C382" s="76"/>
      <c r="D382" s="72"/>
      <c r="F382" s="71"/>
      <c r="G382" s="71"/>
    </row>
    <row r="383" spans="1:11" s="88" customFormat="1" ht="15" customHeight="1" x14ac:dyDescent="0.25">
      <c r="A383" s="100" t="s">
        <v>206</v>
      </c>
      <c r="B383" s="101">
        <v>129</v>
      </c>
      <c r="C383" s="79" t="str">
        <f t="shared" ref="C383:C390" si="234">TEXT(DEC2BIN(B383), "00000000")</f>
        <v>10000001</v>
      </c>
      <c r="D383" s="80" t="str">
        <f>DEC2HEX(B383)</f>
        <v>81</v>
      </c>
      <c r="E383" s="81" t="s">
        <v>207</v>
      </c>
      <c r="F383" s="102"/>
      <c r="G383" s="102"/>
      <c r="H383" s="87">
        <v>0</v>
      </c>
      <c r="I383" s="79" t="str">
        <f t="shared" ref="I383:I390" si="235">TEXT(DEC2BIN(H383), "00000")</f>
        <v>00000</v>
      </c>
      <c r="J383" s="81" t="s">
        <v>14</v>
      </c>
      <c r="K383" s="81" t="s">
        <v>18</v>
      </c>
    </row>
    <row r="384" spans="1:11" s="50" customFormat="1" x14ac:dyDescent="0.25">
      <c r="B384" s="3">
        <f t="shared" ref="B384:B397" si="236">(B383)</f>
        <v>129</v>
      </c>
      <c r="C384" s="4" t="str">
        <f t="shared" si="234"/>
        <v>10000001</v>
      </c>
      <c r="D384" s="2" t="str">
        <f t="shared" ref="D384:D390" si="237">DEC2HEX(B384)</f>
        <v>81</v>
      </c>
      <c r="F384" s="71"/>
      <c r="G384" s="71"/>
      <c r="H384" s="11">
        <f t="shared" ref="H384:H397" si="238">H383+1</f>
        <v>1</v>
      </c>
      <c r="I384" s="4" t="str">
        <f t="shared" si="235"/>
        <v>00001</v>
      </c>
      <c r="J384" s="1" t="s">
        <v>13</v>
      </c>
      <c r="K384" s="54"/>
    </row>
    <row r="385" spans="1:11" s="64" customFormat="1" ht="15" customHeight="1" x14ac:dyDescent="0.25">
      <c r="A385" s="60"/>
      <c r="B385" s="3">
        <f t="shared" si="236"/>
        <v>129</v>
      </c>
      <c r="C385" s="4" t="str">
        <f t="shared" si="234"/>
        <v>10000001</v>
      </c>
      <c r="D385" s="2" t="str">
        <f t="shared" si="237"/>
        <v>81</v>
      </c>
      <c r="E385" s="65"/>
      <c r="F385" s="66"/>
      <c r="G385" s="66"/>
      <c r="H385" s="11">
        <f t="shared" si="238"/>
        <v>2</v>
      </c>
      <c r="I385" s="4" t="str">
        <f t="shared" si="235"/>
        <v>00010</v>
      </c>
      <c r="J385" s="11" t="s">
        <v>15</v>
      </c>
      <c r="K385" s="11" t="s">
        <v>21</v>
      </c>
    </row>
    <row r="386" spans="1:11" s="64" customFormat="1" ht="15" customHeight="1" x14ac:dyDescent="0.25">
      <c r="A386" s="60"/>
      <c r="B386" s="3">
        <f t="shared" si="236"/>
        <v>129</v>
      </c>
      <c r="C386" s="4" t="str">
        <f t="shared" si="234"/>
        <v>10000001</v>
      </c>
      <c r="D386" s="2" t="str">
        <f t="shared" si="237"/>
        <v>81</v>
      </c>
      <c r="E386" s="65"/>
      <c r="F386" s="66"/>
      <c r="G386" s="66"/>
      <c r="H386" s="11">
        <f t="shared" si="238"/>
        <v>3</v>
      </c>
      <c r="I386" s="4" t="str">
        <f t="shared" si="235"/>
        <v>00011</v>
      </c>
      <c r="J386" s="1" t="s">
        <v>42</v>
      </c>
      <c r="K386" s="11" t="s">
        <v>203</v>
      </c>
    </row>
    <row r="387" spans="1:11" x14ac:dyDescent="0.25">
      <c r="B387" s="3">
        <f t="shared" si="236"/>
        <v>129</v>
      </c>
      <c r="C387" s="4" t="str">
        <f t="shared" si="234"/>
        <v>10000001</v>
      </c>
      <c r="D387" s="2" t="str">
        <f t="shared" si="237"/>
        <v>81</v>
      </c>
      <c r="H387" s="11">
        <f t="shared" si="238"/>
        <v>4</v>
      </c>
      <c r="I387" s="4" t="str">
        <f t="shared" si="235"/>
        <v>00100</v>
      </c>
      <c r="J387" s="1" t="s">
        <v>43</v>
      </c>
      <c r="K387" s="1"/>
    </row>
    <row r="388" spans="1:11" s="50" customFormat="1" ht="15" customHeight="1" x14ac:dyDescent="0.25">
      <c r="A388" s="44"/>
      <c r="B388" s="3">
        <f t="shared" si="236"/>
        <v>129</v>
      </c>
      <c r="C388" s="4" t="str">
        <f t="shared" si="234"/>
        <v>10000001</v>
      </c>
      <c r="D388" s="2" t="str">
        <f t="shared" si="237"/>
        <v>81</v>
      </c>
      <c r="E388" s="54"/>
      <c r="F388" s="55"/>
      <c r="G388" s="55"/>
      <c r="H388" s="11">
        <f t="shared" si="238"/>
        <v>5</v>
      </c>
      <c r="I388" s="4" t="str">
        <f t="shared" si="235"/>
        <v>00101</v>
      </c>
      <c r="J388" s="11" t="s">
        <v>15</v>
      </c>
      <c r="K388" s="11" t="s">
        <v>21</v>
      </c>
    </row>
    <row r="389" spans="1:11" s="50" customFormat="1" ht="15" customHeight="1" x14ac:dyDescent="0.25">
      <c r="A389" s="64"/>
      <c r="B389" s="3">
        <f t="shared" si="236"/>
        <v>129</v>
      </c>
      <c r="C389" s="4" t="str">
        <f t="shared" si="234"/>
        <v>10000001</v>
      </c>
      <c r="D389" s="2" t="str">
        <f t="shared" si="237"/>
        <v>81</v>
      </c>
      <c r="E389" s="73"/>
      <c r="F389" s="74"/>
      <c r="G389" s="74"/>
      <c r="H389" s="11">
        <f t="shared" si="238"/>
        <v>6</v>
      </c>
      <c r="I389" s="4" t="str">
        <f t="shared" si="235"/>
        <v>00110</v>
      </c>
      <c r="J389" s="1" t="s">
        <v>197</v>
      </c>
      <c r="K389" s="11" t="s">
        <v>204</v>
      </c>
    </row>
    <row r="390" spans="1:11" s="50" customFormat="1" x14ac:dyDescent="0.25">
      <c r="B390" s="3">
        <f t="shared" si="236"/>
        <v>129</v>
      </c>
      <c r="C390" s="4" t="str">
        <f t="shared" si="234"/>
        <v>10000001</v>
      </c>
      <c r="D390" s="2" t="str">
        <f t="shared" si="237"/>
        <v>81</v>
      </c>
      <c r="F390" s="71"/>
      <c r="G390" s="71"/>
      <c r="H390" s="11">
        <f t="shared" si="238"/>
        <v>7</v>
      </c>
      <c r="I390" s="4" t="str">
        <f t="shared" si="235"/>
        <v>00111</v>
      </c>
      <c r="J390" s="1" t="s">
        <v>198</v>
      </c>
      <c r="K390" s="11"/>
    </row>
    <row r="391" spans="1:11" s="50" customFormat="1" x14ac:dyDescent="0.25">
      <c r="B391" s="3">
        <f t="shared" si="236"/>
        <v>129</v>
      </c>
      <c r="C391" s="4" t="str">
        <f t="shared" ref="C391:C397" si="239">TEXT(DEC2BIN(B391), "00000000")</f>
        <v>10000001</v>
      </c>
      <c r="D391" s="2" t="str">
        <f t="shared" ref="D391:D397" si="240">DEC2HEX(B391)</f>
        <v>81</v>
      </c>
      <c r="F391" s="71"/>
      <c r="G391" s="71"/>
      <c r="H391" s="11">
        <f t="shared" si="238"/>
        <v>8</v>
      </c>
      <c r="I391" s="4" t="str">
        <f t="shared" ref="I391:I397" si="241">TEXT(DEC2BIN(H391), "00000")</f>
        <v>01000</v>
      </c>
      <c r="J391" s="1" t="s">
        <v>208</v>
      </c>
      <c r="K391" s="11" t="s">
        <v>210</v>
      </c>
    </row>
    <row r="392" spans="1:11" s="50" customFormat="1" x14ac:dyDescent="0.25">
      <c r="B392" s="3">
        <f t="shared" si="236"/>
        <v>129</v>
      </c>
      <c r="C392" s="4" t="str">
        <f t="shared" si="239"/>
        <v>10000001</v>
      </c>
      <c r="D392" s="2" t="str">
        <f t="shared" si="240"/>
        <v>81</v>
      </c>
      <c r="F392" s="71"/>
      <c r="G392" s="71"/>
      <c r="H392" s="11">
        <f t="shared" si="238"/>
        <v>9</v>
      </c>
      <c r="I392" s="4" t="str">
        <f t="shared" si="241"/>
        <v>01001</v>
      </c>
      <c r="J392" s="1" t="s">
        <v>209</v>
      </c>
      <c r="K392" s="11"/>
    </row>
    <row r="393" spans="1:11" s="50" customFormat="1" x14ac:dyDescent="0.25">
      <c r="B393" s="3">
        <f t="shared" si="236"/>
        <v>129</v>
      </c>
      <c r="C393" s="4" t="str">
        <f t="shared" si="239"/>
        <v>10000001</v>
      </c>
      <c r="D393" s="2" t="str">
        <f t="shared" si="240"/>
        <v>81</v>
      </c>
      <c r="F393" s="71"/>
      <c r="G393" s="71"/>
      <c r="H393" s="11">
        <f t="shared" si="238"/>
        <v>10</v>
      </c>
      <c r="I393" s="4" t="str">
        <f t="shared" si="241"/>
        <v>01010</v>
      </c>
      <c r="J393" s="1" t="s">
        <v>218</v>
      </c>
      <c r="K393" s="11" t="s">
        <v>211</v>
      </c>
    </row>
    <row r="394" spans="1:11" s="50" customFormat="1" x14ac:dyDescent="0.25">
      <c r="B394" s="3">
        <f t="shared" si="236"/>
        <v>129</v>
      </c>
      <c r="C394" s="4" t="str">
        <f t="shared" si="239"/>
        <v>10000001</v>
      </c>
      <c r="D394" s="2" t="str">
        <f t="shared" si="240"/>
        <v>81</v>
      </c>
      <c r="F394" s="71"/>
      <c r="G394" s="71"/>
      <c r="H394" s="11">
        <f t="shared" si="238"/>
        <v>11</v>
      </c>
      <c r="I394" s="4" t="str">
        <f t="shared" si="241"/>
        <v>01011</v>
      </c>
      <c r="J394" s="1" t="s">
        <v>213</v>
      </c>
      <c r="K394" s="11" t="s">
        <v>212</v>
      </c>
    </row>
    <row r="395" spans="1:11" s="50" customFormat="1" x14ac:dyDescent="0.25">
      <c r="B395" s="3">
        <f t="shared" si="236"/>
        <v>129</v>
      </c>
      <c r="C395" s="4" t="str">
        <f t="shared" si="239"/>
        <v>10000001</v>
      </c>
      <c r="D395" s="2" t="str">
        <f t="shared" si="240"/>
        <v>81</v>
      </c>
      <c r="F395" s="71"/>
      <c r="G395" s="71"/>
      <c r="H395" s="11">
        <f t="shared" si="238"/>
        <v>12</v>
      </c>
      <c r="I395" s="4" t="str">
        <f t="shared" si="241"/>
        <v>01100</v>
      </c>
      <c r="J395" s="1" t="s">
        <v>214</v>
      </c>
      <c r="K395" s="11"/>
    </row>
    <row r="396" spans="1:11" s="50" customFormat="1" x14ac:dyDescent="0.25">
      <c r="B396" s="3">
        <f t="shared" si="236"/>
        <v>129</v>
      </c>
      <c r="C396" s="4" t="str">
        <f t="shared" si="239"/>
        <v>10000001</v>
      </c>
      <c r="D396" s="2" t="str">
        <f t="shared" si="240"/>
        <v>81</v>
      </c>
      <c r="F396" s="71"/>
      <c r="G396" s="71"/>
      <c r="H396" s="11">
        <f t="shared" si="238"/>
        <v>13</v>
      </c>
      <c r="I396" s="4" t="str">
        <f t="shared" si="241"/>
        <v>01101</v>
      </c>
      <c r="J396" s="1" t="s">
        <v>201</v>
      </c>
      <c r="K396" s="1" t="s">
        <v>205</v>
      </c>
    </row>
    <row r="397" spans="1:11" s="50" customFormat="1" x14ac:dyDescent="0.25">
      <c r="B397" s="3">
        <f t="shared" si="236"/>
        <v>129</v>
      </c>
      <c r="C397" s="4" t="str">
        <f t="shared" si="239"/>
        <v>10000001</v>
      </c>
      <c r="D397" s="2" t="str">
        <f t="shared" si="240"/>
        <v>81</v>
      </c>
      <c r="F397" s="71"/>
      <c r="G397" s="71"/>
      <c r="H397" s="11">
        <f t="shared" si="238"/>
        <v>14</v>
      </c>
      <c r="I397" s="4" t="str">
        <f t="shared" si="241"/>
        <v>01110</v>
      </c>
      <c r="J397" s="1" t="s">
        <v>237</v>
      </c>
      <c r="K397" s="1" t="s">
        <v>240</v>
      </c>
    </row>
    <row r="398" spans="1:11" s="50" customFormat="1" x14ac:dyDescent="0.25">
      <c r="B398" s="69"/>
      <c r="C398" s="76"/>
      <c r="D398" s="72"/>
      <c r="F398" s="71"/>
      <c r="G398" s="71"/>
    </row>
    <row r="399" spans="1:11" s="88" customFormat="1" ht="15" customHeight="1" x14ac:dyDescent="0.25">
      <c r="A399" s="100" t="s">
        <v>215</v>
      </c>
      <c r="B399" s="101">
        <v>130</v>
      </c>
      <c r="C399" s="79" t="str">
        <f t="shared" ref="C399:C400" si="242">TEXT(DEC2BIN(B399), "00000000")</f>
        <v>10000010</v>
      </c>
      <c r="D399" s="80" t="str">
        <f>DEC2HEX(B399)</f>
        <v>82</v>
      </c>
      <c r="E399" s="81" t="s">
        <v>216</v>
      </c>
      <c r="F399" s="102"/>
      <c r="G399" s="102"/>
      <c r="H399" s="87">
        <v>0</v>
      </c>
      <c r="I399" s="79" t="str">
        <f t="shared" ref="I399:I400" si="243">TEXT(DEC2BIN(H399), "00000")</f>
        <v>00000</v>
      </c>
      <c r="J399" s="81" t="s">
        <v>14</v>
      </c>
      <c r="K399" s="81" t="s">
        <v>18</v>
      </c>
    </row>
    <row r="400" spans="1:11" s="50" customFormat="1" x14ac:dyDescent="0.25">
      <c r="B400" s="3">
        <f t="shared" ref="B400:B412" si="244">(B399)</f>
        <v>130</v>
      </c>
      <c r="C400" s="4" t="str">
        <f t="shared" si="242"/>
        <v>10000010</v>
      </c>
      <c r="D400" s="2" t="str">
        <f t="shared" ref="D400" si="245">DEC2HEX(B400)</f>
        <v>82</v>
      </c>
      <c r="F400" s="71"/>
      <c r="G400" s="71"/>
      <c r="H400" s="11">
        <f t="shared" ref="H400:H412" si="246">H399+1</f>
        <v>1</v>
      </c>
      <c r="I400" s="4" t="str">
        <f t="shared" si="243"/>
        <v>00001</v>
      </c>
      <c r="J400" s="1" t="s">
        <v>13</v>
      </c>
      <c r="K400" s="54"/>
    </row>
    <row r="401" spans="1:11" s="50" customFormat="1" x14ac:dyDescent="0.25">
      <c r="B401" s="3">
        <f t="shared" si="244"/>
        <v>130</v>
      </c>
      <c r="C401" s="4" t="str">
        <f t="shared" ref="C401:C432" si="247">TEXT(DEC2BIN(B401), "00000000")</f>
        <v>10000010</v>
      </c>
      <c r="D401" s="2" t="str">
        <f t="shared" ref="D401:D412" si="248">DEC2HEX(B401)</f>
        <v>82</v>
      </c>
      <c r="F401" s="71"/>
      <c r="G401" s="71"/>
      <c r="H401" s="11">
        <f t="shared" si="246"/>
        <v>2</v>
      </c>
      <c r="I401" s="4" t="str">
        <f t="shared" ref="I401:I415" si="249">TEXT(DEC2BIN(H401), "00000")</f>
        <v>00010</v>
      </c>
      <c r="J401" s="1" t="s">
        <v>34</v>
      </c>
      <c r="K401" s="11" t="s">
        <v>211</v>
      </c>
    </row>
    <row r="402" spans="1:11" s="50" customFormat="1" x14ac:dyDescent="0.25">
      <c r="B402" s="3">
        <f t="shared" si="244"/>
        <v>130</v>
      </c>
      <c r="C402" s="4" t="str">
        <f t="shared" si="247"/>
        <v>10000010</v>
      </c>
      <c r="D402" s="2" t="str">
        <f t="shared" si="248"/>
        <v>82</v>
      </c>
      <c r="F402" s="71"/>
      <c r="G402" s="71"/>
      <c r="H402" s="11">
        <f t="shared" si="246"/>
        <v>3</v>
      </c>
      <c r="I402" s="4" t="str">
        <f t="shared" si="249"/>
        <v>00011</v>
      </c>
      <c r="J402" s="1" t="s">
        <v>40</v>
      </c>
      <c r="K402" s="54" t="s">
        <v>219</v>
      </c>
    </row>
    <row r="403" spans="1:11" s="50" customFormat="1" x14ac:dyDescent="0.25">
      <c r="B403" s="3">
        <f t="shared" si="244"/>
        <v>130</v>
      </c>
      <c r="C403" s="4" t="str">
        <f t="shared" si="247"/>
        <v>10000010</v>
      </c>
      <c r="D403" s="2" t="str">
        <f t="shared" si="248"/>
        <v>82</v>
      </c>
      <c r="F403" s="71"/>
      <c r="G403" s="71"/>
      <c r="H403" s="11">
        <f t="shared" si="246"/>
        <v>4</v>
      </c>
      <c r="I403" s="4" t="str">
        <f t="shared" si="249"/>
        <v>00100</v>
      </c>
      <c r="J403" s="1" t="s">
        <v>34</v>
      </c>
      <c r="K403" s="11" t="s">
        <v>211</v>
      </c>
    </row>
    <row r="404" spans="1:11" s="50" customFormat="1" x14ac:dyDescent="0.25">
      <c r="B404" s="3">
        <f t="shared" si="244"/>
        <v>130</v>
      </c>
      <c r="C404" s="4" t="str">
        <f t="shared" si="247"/>
        <v>10000010</v>
      </c>
      <c r="D404" s="2" t="str">
        <f t="shared" si="248"/>
        <v>82</v>
      </c>
      <c r="F404" s="71"/>
      <c r="G404" s="71"/>
      <c r="H404" s="11">
        <f t="shared" si="246"/>
        <v>5</v>
      </c>
      <c r="I404" s="4" t="str">
        <f t="shared" si="249"/>
        <v>00101</v>
      </c>
      <c r="J404" s="1" t="s">
        <v>36</v>
      </c>
      <c r="K404" s="54" t="s">
        <v>220</v>
      </c>
    </row>
    <row r="405" spans="1:11" s="64" customFormat="1" ht="15" customHeight="1" x14ac:dyDescent="0.25">
      <c r="A405" s="60"/>
      <c r="B405" s="3">
        <f t="shared" si="244"/>
        <v>130</v>
      </c>
      <c r="C405" s="4" t="str">
        <f t="shared" si="247"/>
        <v>10000010</v>
      </c>
      <c r="D405" s="2" t="str">
        <f t="shared" si="248"/>
        <v>82</v>
      </c>
      <c r="E405" s="65"/>
      <c r="F405" s="66"/>
      <c r="G405" s="66"/>
      <c r="H405" s="11">
        <f t="shared" si="246"/>
        <v>6</v>
      </c>
      <c r="I405" s="4" t="str">
        <f t="shared" si="249"/>
        <v>00110</v>
      </c>
      <c r="J405" s="11" t="s">
        <v>15</v>
      </c>
      <c r="K405" s="11" t="s">
        <v>21</v>
      </c>
    </row>
    <row r="406" spans="1:11" s="64" customFormat="1" ht="15" customHeight="1" x14ac:dyDescent="0.25">
      <c r="A406" s="60"/>
      <c r="B406" s="3">
        <f t="shared" si="244"/>
        <v>130</v>
      </c>
      <c r="C406" s="4" t="str">
        <f t="shared" si="247"/>
        <v>10000010</v>
      </c>
      <c r="D406" s="2" t="str">
        <f t="shared" si="248"/>
        <v>82</v>
      </c>
      <c r="E406" s="65"/>
      <c r="F406" s="66"/>
      <c r="G406" s="66"/>
      <c r="H406" s="11">
        <f t="shared" si="246"/>
        <v>7</v>
      </c>
      <c r="I406" s="4" t="str">
        <f t="shared" si="249"/>
        <v>00111</v>
      </c>
      <c r="J406" s="1" t="s">
        <v>195</v>
      </c>
      <c r="K406" s="11" t="s">
        <v>199</v>
      </c>
    </row>
    <row r="407" spans="1:11" x14ac:dyDescent="0.25">
      <c r="B407" s="3">
        <f t="shared" si="244"/>
        <v>130</v>
      </c>
      <c r="C407" s="4" t="str">
        <f t="shared" si="247"/>
        <v>10000010</v>
      </c>
      <c r="D407" s="2" t="str">
        <f t="shared" si="248"/>
        <v>82</v>
      </c>
      <c r="H407" s="11">
        <f t="shared" si="246"/>
        <v>8</v>
      </c>
      <c r="I407" s="4" t="str">
        <f t="shared" si="249"/>
        <v>01000</v>
      </c>
      <c r="J407" s="1" t="s">
        <v>196</v>
      </c>
      <c r="K407" s="1"/>
    </row>
    <row r="408" spans="1:11" s="50" customFormat="1" ht="15" customHeight="1" x14ac:dyDescent="0.25">
      <c r="A408" s="44"/>
      <c r="B408" s="3">
        <f t="shared" si="244"/>
        <v>130</v>
      </c>
      <c r="C408" s="4" t="str">
        <f t="shared" si="247"/>
        <v>10000010</v>
      </c>
      <c r="D408" s="2" t="str">
        <f t="shared" si="248"/>
        <v>82</v>
      </c>
      <c r="E408" s="54"/>
      <c r="F408" s="55"/>
      <c r="G408" s="55"/>
      <c r="H408" s="11">
        <f t="shared" si="246"/>
        <v>9</v>
      </c>
      <c r="I408" s="4" t="str">
        <f t="shared" si="249"/>
        <v>01001</v>
      </c>
      <c r="J408" s="11" t="s">
        <v>15</v>
      </c>
      <c r="K408" s="11" t="s">
        <v>21</v>
      </c>
    </row>
    <row r="409" spans="1:11" s="50" customFormat="1" ht="15" customHeight="1" x14ac:dyDescent="0.25">
      <c r="A409" s="64"/>
      <c r="B409" s="3">
        <f t="shared" si="244"/>
        <v>130</v>
      </c>
      <c r="C409" s="4" t="str">
        <f t="shared" si="247"/>
        <v>10000010</v>
      </c>
      <c r="D409" s="2" t="str">
        <f t="shared" si="248"/>
        <v>82</v>
      </c>
      <c r="E409" s="73"/>
      <c r="F409" s="74"/>
      <c r="G409" s="74"/>
      <c r="H409" s="11">
        <f t="shared" si="246"/>
        <v>10</v>
      </c>
      <c r="I409" s="4" t="str">
        <f t="shared" si="249"/>
        <v>01010</v>
      </c>
      <c r="J409" s="1" t="s">
        <v>195</v>
      </c>
      <c r="K409" s="11" t="s">
        <v>200</v>
      </c>
    </row>
    <row r="410" spans="1:11" s="50" customFormat="1" x14ac:dyDescent="0.25">
      <c r="B410" s="3">
        <f t="shared" si="244"/>
        <v>130</v>
      </c>
      <c r="C410" s="4" t="str">
        <f t="shared" si="247"/>
        <v>10000010</v>
      </c>
      <c r="D410" s="2" t="str">
        <f t="shared" si="248"/>
        <v>82</v>
      </c>
      <c r="F410" s="71"/>
      <c r="G410" s="71"/>
      <c r="H410" s="11">
        <f t="shared" si="246"/>
        <v>11</v>
      </c>
      <c r="I410" s="4" t="str">
        <f t="shared" si="249"/>
        <v>01011</v>
      </c>
      <c r="J410" s="1" t="s">
        <v>202</v>
      </c>
      <c r="K410" s="11"/>
    </row>
    <row r="411" spans="1:11" s="50" customFormat="1" x14ac:dyDescent="0.25">
      <c r="B411" s="3">
        <f t="shared" si="244"/>
        <v>130</v>
      </c>
      <c r="C411" s="4" t="str">
        <f t="shared" si="247"/>
        <v>10000010</v>
      </c>
      <c r="D411" s="2" t="str">
        <f t="shared" si="248"/>
        <v>82</v>
      </c>
      <c r="F411" s="71"/>
      <c r="G411" s="71"/>
      <c r="H411" s="11">
        <f t="shared" si="246"/>
        <v>12</v>
      </c>
      <c r="I411" s="4" t="str">
        <f t="shared" si="249"/>
        <v>01100</v>
      </c>
      <c r="J411" s="1" t="s">
        <v>201</v>
      </c>
      <c r="K411" s="1" t="s">
        <v>205</v>
      </c>
    </row>
    <row r="412" spans="1:11" s="50" customFormat="1" x14ac:dyDescent="0.25">
      <c r="B412" s="3">
        <f t="shared" si="244"/>
        <v>130</v>
      </c>
      <c r="C412" s="4" t="str">
        <f t="shared" si="247"/>
        <v>10000010</v>
      </c>
      <c r="D412" s="2" t="str">
        <f t="shared" si="248"/>
        <v>82</v>
      </c>
      <c r="F412" s="71"/>
      <c r="G412" s="71"/>
      <c r="H412" s="11">
        <f t="shared" si="246"/>
        <v>13</v>
      </c>
      <c r="I412" s="4" t="str">
        <f t="shared" si="249"/>
        <v>01101</v>
      </c>
      <c r="J412" s="1" t="s">
        <v>237</v>
      </c>
      <c r="K412" s="1" t="s">
        <v>240</v>
      </c>
    </row>
    <row r="413" spans="1:11" s="50" customFormat="1" x14ac:dyDescent="0.25">
      <c r="B413" s="3"/>
      <c r="C413" s="4"/>
      <c r="D413" s="2"/>
      <c r="F413" s="71"/>
      <c r="G413" s="71"/>
      <c r="H413" s="11"/>
      <c r="I413" s="4"/>
      <c r="J413" s="1"/>
      <c r="K413" s="1"/>
    </row>
    <row r="414" spans="1:11" s="88" customFormat="1" ht="15" customHeight="1" x14ac:dyDescent="0.25">
      <c r="A414" s="100" t="s">
        <v>228</v>
      </c>
      <c r="B414" s="101">
        <v>131</v>
      </c>
      <c r="C414" s="79" t="str">
        <f t="shared" si="247"/>
        <v>10000011</v>
      </c>
      <c r="D414" s="80" t="str">
        <f>DEC2HEX(B414)</f>
        <v>83</v>
      </c>
      <c r="E414" s="81" t="s">
        <v>227</v>
      </c>
      <c r="F414" s="102"/>
      <c r="G414" s="102"/>
      <c r="H414" s="87">
        <v>0</v>
      </c>
      <c r="I414" s="79" t="str">
        <f t="shared" si="249"/>
        <v>00000</v>
      </c>
      <c r="J414" s="81" t="s">
        <v>14</v>
      </c>
      <c r="K414" s="81" t="s">
        <v>18</v>
      </c>
    </row>
    <row r="415" spans="1:11" s="50" customFormat="1" x14ac:dyDescent="0.25">
      <c r="B415" s="3">
        <f t="shared" ref="B415:B432" si="250">(B414)</f>
        <v>131</v>
      </c>
      <c r="C415" s="4" t="str">
        <f t="shared" si="247"/>
        <v>10000011</v>
      </c>
      <c r="D415" s="2" t="str">
        <f t="shared" ref="D415:D432" si="251">DEC2HEX(B415)</f>
        <v>83</v>
      </c>
      <c r="F415" s="71"/>
      <c r="G415" s="71"/>
      <c r="H415" s="11">
        <f t="shared" ref="H415:H432" si="252">H414+1</f>
        <v>1</v>
      </c>
      <c r="I415" s="4" t="str">
        <f t="shared" si="249"/>
        <v>00001</v>
      </c>
      <c r="J415" s="1" t="s">
        <v>13</v>
      </c>
      <c r="K415" s="54"/>
    </row>
    <row r="416" spans="1:11" s="50" customFormat="1" x14ac:dyDescent="0.25">
      <c r="B416" s="3">
        <f t="shared" si="250"/>
        <v>131</v>
      </c>
      <c r="C416" s="4" t="str">
        <f t="shared" ref="C416:C419" si="253">TEXT(DEC2BIN(B416), "00000000")</f>
        <v>10000011</v>
      </c>
      <c r="D416" s="2" t="str">
        <f t="shared" si="251"/>
        <v>83</v>
      </c>
      <c r="F416" s="71"/>
      <c r="G416" s="71"/>
      <c r="H416" s="11">
        <f t="shared" si="252"/>
        <v>2</v>
      </c>
      <c r="I416" s="4" t="str">
        <f t="shared" ref="I416:I419" si="254">TEXT(DEC2BIN(H416), "00000")</f>
        <v>00010</v>
      </c>
      <c r="J416" s="1" t="s">
        <v>34</v>
      </c>
      <c r="K416" s="11" t="s">
        <v>211</v>
      </c>
    </row>
    <row r="417" spans="1:11" s="50" customFormat="1" x14ac:dyDescent="0.25">
      <c r="B417" s="3">
        <f t="shared" si="250"/>
        <v>131</v>
      </c>
      <c r="C417" s="4" t="str">
        <f t="shared" si="253"/>
        <v>10000011</v>
      </c>
      <c r="D417" s="2" t="str">
        <f t="shared" si="251"/>
        <v>83</v>
      </c>
      <c r="F417" s="71"/>
      <c r="G417" s="71"/>
      <c r="H417" s="11">
        <f t="shared" si="252"/>
        <v>3</v>
      </c>
      <c r="I417" s="4" t="str">
        <f t="shared" si="254"/>
        <v>00011</v>
      </c>
      <c r="J417" s="1" t="s">
        <v>40</v>
      </c>
      <c r="K417" s="54" t="s">
        <v>219</v>
      </c>
    </row>
    <row r="418" spans="1:11" s="50" customFormat="1" x14ac:dyDescent="0.25">
      <c r="B418" s="3">
        <f t="shared" si="250"/>
        <v>131</v>
      </c>
      <c r="C418" s="4" t="str">
        <f t="shared" si="253"/>
        <v>10000011</v>
      </c>
      <c r="D418" s="2" t="str">
        <f t="shared" si="251"/>
        <v>83</v>
      </c>
      <c r="F418" s="71"/>
      <c r="G418" s="71"/>
      <c r="H418" s="11">
        <f t="shared" si="252"/>
        <v>4</v>
      </c>
      <c r="I418" s="4" t="str">
        <f t="shared" si="254"/>
        <v>00100</v>
      </c>
      <c r="J418" s="1" t="s">
        <v>34</v>
      </c>
      <c r="K418" s="11" t="s">
        <v>211</v>
      </c>
    </row>
    <row r="419" spans="1:11" s="50" customFormat="1" x14ac:dyDescent="0.25">
      <c r="B419" s="3">
        <f t="shared" si="250"/>
        <v>131</v>
      </c>
      <c r="C419" s="4" t="str">
        <f t="shared" si="253"/>
        <v>10000011</v>
      </c>
      <c r="D419" s="2" t="str">
        <f t="shared" si="251"/>
        <v>83</v>
      </c>
      <c r="F419" s="71"/>
      <c r="G419" s="71"/>
      <c r="H419" s="11">
        <f t="shared" si="252"/>
        <v>5</v>
      </c>
      <c r="I419" s="4" t="str">
        <f t="shared" si="254"/>
        <v>00101</v>
      </c>
      <c r="J419" s="1" t="s">
        <v>36</v>
      </c>
      <c r="K419" s="54" t="s">
        <v>220</v>
      </c>
    </row>
    <row r="420" spans="1:11" s="64" customFormat="1" ht="15" customHeight="1" x14ac:dyDescent="0.25">
      <c r="A420" s="60"/>
      <c r="B420" s="3">
        <f t="shared" si="250"/>
        <v>131</v>
      </c>
      <c r="C420" s="4" t="str">
        <f t="shared" si="247"/>
        <v>10000011</v>
      </c>
      <c r="D420" s="2" t="str">
        <f t="shared" si="251"/>
        <v>83</v>
      </c>
      <c r="E420" s="65"/>
      <c r="F420" s="66"/>
      <c r="G420" s="66"/>
      <c r="H420" s="11">
        <f t="shared" si="252"/>
        <v>6</v>
      </c>
      <c r="I420" s="4" t="str">
        <f t="shared" ref="I420:I432" si="255">TEXT(DEC2BIN(H420), "00000")</f>
        <v>00110</v>
      </c>
      <c r="J420" s="11" t="s">
        <v>15</v>
      </c>
      <c r="K420" s="11" t="s">
        <v>21</v>
      </c>
    </row>
    <row r="421" spans="1:11" s="64" customFormat="1" ht="15" customHeight="1" x14ac:dyDescent="0.25">
      <c r="A421" s="60"/>
      <c r="B421" s="3">
        <f t="shared" si="250"/>
        <v>131</v>
      </c>
      <c r="C421" s="4" t="str">
        <f t="shared" si="247"/>
        <v>10000011</v>
      </c>
      <c r="D421" s="2" t="str">
        <f t="shared" si="251"/>
        <v>83</v>
      </c>
      <c r="E421" s="65"/>
      <c r="F421" s="66"/>
      <c r="G421" s="66"/>
      <c r="H421" s="11">
        <f t="shared" si="252"/>
        <v>7</v>
      </c>
      <c r="I421" s="4" t="str">
        <f t="shared" si="255"/>
        <v>00111</v>
      </c>
      <c r="J421" s="1" t="s">
        <v>42</v>
      </c>
      <c r="K421" s="11" t="s">
        <v>203</v>
      </c>
    </row>
    <row r="422" spans="1:11" x14ac:dyDescent="0.25">
      <c r="B422" s="3">
        <f t="shared" si="250"/>
        <v>131</v>
      </c>
      <c r="C422" s="4" t="str">
        <f t="shared" si="247"/>
        <v>10000011</v>
      </c>
      <c r="D422" s="2" t="str">
        <f t="shared" si="251"/>
        <v>83</v>
      </c>
      <c r="H422" s="11">
        <f t="shared" si="252"/>
        <v>8</v>
      </c>
      <c r="I422" s="4" t="str">
        <f t="shared" si="255"/>
        <v>01000</v>
      </c>
      <c r="J422" s="1" t="s">
        <v>43</v>
      </c>
      <c r="K422" s="1"/>
    </row>
    <row r="423" spans="1:11" s="50" customFormat="1" ht="15" customHeight="1" x14ac:dyDescent="0.25">
      <c r="A423" s="44"/>
      <c r="B423" s="3">
        <f t="shared" si="250"/>
        <v>131</v>
      </c>
      <c r="C423" s="4" t="str">
        <f t="shared" si="247"/>
        <v>10000011</v>
      </c>
      <c r="D423" s="2" t="str">
        <f t="shared" si="251"/>
        <v>83</v>
      </c>
      <c r="E423" s="54"/>
      <c r="F423" s="55"/>
      <c r="G423" s="55"/>
      <c r="H423" s="11">
        <f t="shared" si="252"/>
        <v>9</v>
      </c>
      <c r="I423" s="4" t="str">
        <f t="shared" si="255"/>
        <v>01001</v>
      </c>
      <c r="J423" s="11" t="s">
        <v>15</v>
      </c>
      <c r="K423" s="11" t="s">
        <v>21</v>
      </c>
    </row>
    <row r="424" spans="1:11" s="50" customFormat="1" ht="15" customHeight="1" x14ac:dyDescent="0.25">
      <c r="A424" s="64"/>
      <c r="B424" s="3">
        <f t="shared" si="250"/>
        <v>131</v>
      </c>
      <c r="C424" s="4" t="str">
        <f t="shared" si="247"/>
        <v>10000011</v>
      </c>
      <c r="D424" s="2" t="str">
        <f t="shared" si="251"/>
        <v>83</v>
      </c>
      <c r="E424" s="73"/>
      <c r="F424" s="74"/>
      <c r="G424" s="74"/>
      <c r="H424" s="11">
        <f t="shared" si="252"/>
        <v>10</v>
      </c>
      <c r="I424" s="4" t="str">
        <f t="shared" si="255"/>
        <v>01010</v>
      </c>
      <c r="J424" s="1" t="s">
        <v>197</v>
      </c>
      <c r="K424" s="11" t="s">
        <v>204</v>
      </c>
    </row>
    <row r="425" spans="1:11" s="50" customFormat="1" x14ac:dyDescent="0.25">
      <c r="B425" s="3">
        <f t="shared" si="250"/>
        <v>131</v>
      </c>
      <c r="C425" s="4" t="str">
        <f t="shared" si="247"/>
        <v>10000011</v>
      </c>
      <c r="D425" s="2" t="str">
        <f t="shared" si="251"/>
        <v>83</v>
      </c>
      <c r="F425" s="71"/>
      <c r="G425" s="71"/>
      <c r="H425" s="11">
        <f t="shared" si="252"/>
        <v>11</v>
      </c>
      <c r="I425" s="4" t="str">
        <f t="shared" si="255"/>
        <v>01011</v>
      </c>
      <c r="J425" s="1" t="s">
        <v>198</v>
      </c>
      <c r="K425" s="11"/>
    </row>
    <row r="426" spans="1:11" s="50" customFormat="1" x14ac:dyDescent="0.25">
      <c r="B426" s="3">
        <f t="shared" si="250"/>
        <v>131</v>
      </c>
      <c r="C426" s="4" t="str">
        <f t="shared" si="247"/>
        <v>10000011</v>
      </c>
      <c r="D426" s="2" t="str">
        <f t="shared" si="251"/>
        <v>83</v>
      </c>
      <c r="F426" s="71"/>
      <c r="G426" s="71"/>
      <c r="H426" s="11">
        <f t="shared" si="252"/>
        <v>12</v>
      </c>
      <c r="I426" s="4" t="str">
        <f t="shared" si="255"/>
        <v>01100</v>
      </c>
      <c r="J426" s="1" t="s">
        <v>208</v>
      </c>
      <c r="K426" s="11" t="s">
        <v>210</v>
      </c>
    </row>
    <row r="427" spans="1:11" s="50" customFormat="1" x14ac:dyDescent="0.25">
      <c r="B427" s="3">
        <f t="shared" si="250"/>
        <v>131</v>
      </c>
      <c r="C427" s="4" t="str">
        <f t="shared" si="247"/>
        <v>10000011</v>
      </c>
      <c r="D427" s="2" t="str">
        <f t="shared" si="251"/>
        <v>83</v>
      </c>
      <c r="F427" s="71"/>
      <c r="G427" s="71"/>
      <c r="H427" s="11">
        <f t="shared" si="252"/>
        <v>13</v>
      </c>
      <c r="I427" s="4" t="str">
        <f t="shared" si="255"/>
        <v>01101</v>
      </c>
      <c r="J427" s="1" t="s">
        <v>209</v>
      </c>
      <c r="K427" s="11"/>
    </row>
    <row r="428" spans="1:11" s="50" customFormat="1" x14ac:dyDescent="0.25">
      <c r="B428" s="3">
        <f t="shared" si="250"/>
        <v>131</v>
      </c>
      <c r="C428" s="4" t="str">
        <f t="shared" si="247"/>
        <v>10000011</v>
      </c>
      <c r="D428" s="2" t="str">
        <f t="shared" si="251"/>
        <v>83</v>
      </c>
      <c r="F428" s="71"/>
      <c r="G428" s="71"/>
      <c r="H428" s="11">
        <f t="shared" si="252"/>
        <v>14</v>
      </c>
      <c r="I428" s="4" t="str">
        <f t="shared" si="255"/>
        <v>01110</v>
      </c>
      <c r="J428" s="1" t="s">
        <v>218</v>
      </c>
      <c r="K428" s="11" t="s">
        <v>211</v>
      </c>
    </row>
    <row r="429" spans="1:11" s="50" customFormat="1" x14ac:dyDescent="0.25">
      <c r="B429" s="3">
        <f t="shared" si="250"/>
        <v>131</v>
      </c>
      <c r="C429" s="4" t="str">
        <f t="shared" si="247"/>
        <v>10000011</v>
      </c>
      <c r="D429" s="2" t="str">
        <f t="shared" si="251"/>
        <v>83</v>
      </c>
      <c r="F429" s="71"/>
      <c r="G429" s="71"/>
      <c r="H429" s="11">
        <f t="shared" si="252"/>
        <v>15</v>
      </c>
      <c r="I429" s="4" t="str">
        <f t="shared" si="255"/>
        <v>01111</v>
      </c>
      <c r="J429" s="1" t="s">
        <v>213</v>
      </c>
      <c r="K429" s="11" t="s">
        <v>212</v>
      </c>
    </row>
    <row r="430" spans="1:11" s="50" customFormat="1" x14ac:dyDescent="0.25">
      <c r="B430" s="3">
        <f t="shared" si="250"/>
        <v>131</v>
      </c>
      <c r="C430" s="4" t="str">
        <f t="shared" si="247"/>
        <v>10000011</v>
      </c>
      <c r="D430" s="2" t="str">
        <f t="shared" si="251"/>
        <v>83</v>
      </c>
      <c r="F430" s="71"/>
      <c r="G430" s="71"/>
      <c r="H430" s="11">
        <f t="shared" si="252"/>
        <v>16</v>
      </c>
      <c r="I430" s="4" t="str">
        <f t="shared" si="255"/>
        <v>10000</v>
      </c>
      <c r="J430" s="1" t="s">
        <v>214</v>
      </c>
      <c r="K430" s="11"/>
    </row>
    <row r="431" spans="1:11" s="50" customFormat="1" x14ac:dyDescent="0.25">
      <c r="B431" s="3">
        <f t="shared" si="250"/>
        <v>131</v>
      </c>
      <c r="C431" s="4" t="str">
        <f t="shared" si="247"/>
        <v>10000011</v>
      </c>
      <c r="D431" s="2" t="str">
        <f t="shared" si="251"/>
        <v>83</v>
      </c>
      <c r="F431" s="71"/>
      <c r="G431" s="71"/>
      <c r="H431" s="11">
        <f t="shared" si="252"/>
        <v>17</v>
      </c>
      <c r="I431" s="4" t="str">
        <f t="shared" si="255"/>
        <v>10001</v>
      </c>
      <c r="J431" s="1" t="s">
        <v>201</v>
      </c>
      <c r="K431" s="1" t="s">
        <v>205</v>
      </c>
    </row>
    <row r="432" spans="1:11" s="50" customFormat="1" x14ac:dyDescent="0.25">
      <c r="B432" s="3">
        <f t="shared" si="250"/>
        <v>131</v>
      </c>
      <c r="C432" s="4" t="str">
        <f t="shared" si="247"/>
        <v>10000011</v>
      </c>
      <c r="D432" s="2" t="str">
        <f t="shared" si="251"/>
        <v>83</v>
      </c>
      <c r="F432" s="71"/>
      <c r="G432" s="71"/>
      <c r="H432" s="11">
        <f t="shared" si="252"/>
        <v>18</v>
      </c>
      <c r="I432" s="4" t="str">
        <f t="shared" si="255"/>
        <v>10010</v>
      </c>
      <c r="J432" s="1" t="s">
        <v>237</v>
      </c>
      <c r="K432" s="1" t="s">
        <v>240</v>
      </c>
    </row>
    <row r="433" spans="1:11" s="50" customFormat="1" x14ac:dyDescent="0.25">
      <c r="B433" s="69"/>
      <c r="C433" s="75"/>
      <c r="D433" s="72"/>
      <c r="F433" s="71"/>
      <c r="G433" s="71"/>
    </row>
    <row r="434" spans="1:11" s="88" customFormat="1" ht="15" customHeight="1" x14ac:dyDescent="0.25">
      <c r="A434" s="100" t="s">
        <v>225</v>
      </c>
      <c r="B434" s="101">
        <v>132</v>
      </c>
      <c r="C434" s="79" t="str">
        <f t="shared" ref="C434:C435" si="256">TEXT(DEC2BIN(B434), "00000000")</f>
        <v>10000100</v>
      </c>
      <c r="D434" s="80" t="str">
        <f>DEC2HEX(B434)</f>
        <v>84</v>
      </c>
      <c r="E434" s="81" t="s">
        <v>226</v>
      </c>
      <c r="F434" s="102"/>
      <c r="G434" s="102"/>
      <c r="H434" s="87">
        <v>0</v>
      </c>
      <c r="I434" s="79" t="str">
        <f t="shared" ref="I434:I435" si="257">TEXT(DEC2BIN(H434), "00000")</f>
        <v>00000</v>
      </c>
      <c r="J434" s="81" t="s">
        <v>14</v>
      </c>
      <c r="K434" s="81" t="s">
        <v>18</v>
      </c>
    </row>
    <row r="435" spans="1:11" s="50" customFormat="1" x14ac:dyDescent="0.25">
      <c r="B435" s="3">
        <f t="shared" ref="B435:B443" si="258">(B434)</f>
        <v>132</v>
      </c>
      <c r="C435" s="4" t="str">
        <f t="shared" si="256"/>
        <v>10000100</v>
      </c>
      <c r="D435" s="2" t="str">
        <f t="shared" ref="D435" si="259">DEC2HEX(B435)</f>
        <v>84</v>
      </c>
      <c r="F435" s="71"/>
      <c r="G435" s="71"/>
      <c r="H435" s="11">
        <f t="shared" ref="H435:H443" si="260">H434+1</f>
        <v>1</v>
      </c>
      <c r="I435" s="4" t="str">
        <f t="shared" si="257"/>
        <v>00001</v>
      </c>
      <c r="J435" s="1" t="s">
        <v>13</v>
      </c>
      <c r="K435" s="54"/>
    </row>
    <row r="436" spans="1:11" s="50" customFormat="1" x14ac:dyDescent="0.25">
      <c r="B436" s="3">
        <f t="shared" si="258"/>
        <v>132</v>
      </c>
      <c r="C436" s="4" t="str">
        <f t="shared" ref="C436:C443" si="261">TEXT(DEC2BIN(B436), "00000000")</f>
        <v>10000100</v>
      </c>
      <c r="D436" s="2" t="str">
        <f t="shared" ref="D436:D443" si="262">DEC2HEX(B436)</f>
        <v>84</v>
      </c>
      <c r="F436" s="71"/>
      <c r="G436" s="71"/>
      <c r="H436" s="11">
        <f t="shared" si="260"/>
        <v>2</v>
      </c>
      <c r="I436" s="4" t="str">
        <f t="shared" ref="I436:I443" si="263">TEXT(DEC2BIN(H436), "00000")</f>
        <v>00010</v>
      </c>
      <c r="J436" s="50" t="s">
        <v>229</v>
      </c>
      <c r="K436" s="50" t="s">
        <v>222</v>
      </c>
    </row>
    <row r="437" spans="1:11" s="50" customFormat="1" x14ac:dyDescent="0.25">
      <c r="B437" s="3">
        <f t="shared" si="258"/>
        <v>132</v>
      </c>
      <c r="C437" s="4" t="str">
        <f t="shared" si="261"/>
        <v>10000100</v>
      </c>
      <c r="D437" s="2" t="str">
        <f t="shared" si="262"/>
        <v>84</v>
      </c>
      <c r="F437" s="71"/>
      <c r="G437" s="71"/>
      <c r="H437" s="11">
        <f t="shared" si="260"/>
        <v>3</v>
      </c>
      <c r="I437" s="4" t="str">
        <f t="shared" si="263"/>
        <v>00011</v>
      </c>
      <c r="J437" s="50" t="s">
        <v>230</v>
      </c>
    </row>
    <row r="438" spans="1:11" s="50" customFormat="1" x14ac:dyDescent="0.25">
      <c r="B438" s="3">
        <f t="shared" si="258"/>
        <v>132</v>
      </c>
      <c r="C438" s="4" t="str">
        <f t="shared" si="261"/>
        <v>10000100</v>
      </c>
      <c r="D438" s="2" t="str">
        <f t="shared" si="262"/>
        <v>84</v>
      </c>
      <c r="F438" s="71"/>
      <c r="G438" s="71"/>
      <c r="H438" s="11">
        <f t="shared" si="260"/>
        <v>4</v>
      </c>
      <c r="I438" s="4" t="str">
        <f t="shared" si="263"/>
        <v>00100</v>
      </c>
      <c r="J438" s="50" t="s">
        <v>221</v>
      </c>
      <c r="K438" s="50" t="s">
        <v>224</v>
      </c>
    </row>
    <row r="439" spans="1:11" s="50" customFormat="1" x14ac:dyDescent="0.25">
      <c r="B439" s="3">
        <f t="shared" si="258"/>
        <v>132</v>
      </c>
      <c r="C439" s="4" t="str">
        <f t="shared" si="261"/>
        <v>10000100</v>
      </c>
      <c r="D439" s="2" t="str">
        <f t="shared" si="262"/>
        <v>84</v>
      </c>
      <c r="F439" s="71"/>
      <c r="G439" s="71"/>
      <c r="H439" s="11">
        <f t="shared" si="260"/>
        <v>5</v>
      </c>
      <c r="I439" s="4" t="str">
        <f t="shared" si="263"/>
        <v>00101</v>
      </c>
      <c r="J439" s="50" t="s">
        <v>244</v>
      </c>
      <c r="K439" s="50" t="s">
        <v>223</v>
      </c>
    </row>
    <row r="440" spans="1:11" s="50" customFormat="1" x14ac:dyDescent="0.25">
      <c r="B440" s="3">
        <f t="shared" si="258"/>
        <v>132</v>
      </c>
      <c r="C440" s="4" t="str">
        <f t="shared" si="261"/>
        <v>10000100</v>
      </c>
      <c r="D440" s="2" t="str">
        <f t="shared" si="262"/>
        <v>84</v>
      </c>
      <c r="F440" s="71"/>
      <c r="G440" s="71"/>
      <c r="H440" s="11">
        <f t="shared" si="260"/>
        <v>6</v>
      </c>
      <c r="I440" s="4" t="str">
        <f t="shared" si="263"/>
        <v>00110</v>
      </c>
      <c r="J440" s="50" t="s">
        <v>245</v>
      </c>
    </row>
    <row r="441" spans="1:11" s="50" customFormat="1" x14ac:dyDescent="0.25">
      <c r="B441" s="3">
        <f t="shared" si="258"/>
        <v>132</v>
      </c>
      <c r="C441" s="4" t="str">
        <f t="shared" si="261"/>
        <v>10000100</v>
      </c>
      <c r="D441" s="2" t="str">
        <f t="shared" si="262"/>
        <v>84</v>
      </c>
      <c r="F441" s="71"/>
      <c r="G441" s="71"/>
      <c r="H441" s="11">
        <f t="shared" si="260"/>
        <v>7</v>
      </c>
      <c r="I441" s="4" t="str">
        <f t="shared" si="263"/>
        <v>00111</v>
      </c>
      <c r="J441" s="50" t="s">
        <v>221</v>
      </c>
      <c r="K441" s="50" t="s">
        <v>224</v>
      </c>
    </row>
    <row r="442" spans="1:11" s="50" customFormat="1" x14ac:dyDescent="0.25">
      <c r="B442" s="3">
        <f t="shared" si="258"/>
        <v>132</v>
      </c>
      <c r="C442" s="4" t="str">
        <f t="shared" si="261"/>
        <v>10000100</v>
      </c>
      <c r="D442" s="2" t="str">
        <f t="shared" si="262"/>
        <v>84</v>
      </c>
      <c r="F442" s="71"/>
      <c r="G442" s="71"/>
      <c r="H442" s="11">
        <f t="shared" si="260"/>
        <v>8</v>
      </c>
      <c r="I442" s="4" t="str">
        <f t="shared" si="263"/>
        <v>01000</v>
      </c>
      <c r="J442" s="1" t="s">
        <v>201</v>
      </c>
      <c r="K442" s="1" t="s">
        <v>205</v>
      </c>
    </row>
    <row r="443" spans="1:11" s="50" customFormat="1" x14ac:dyDescent="0.25">
      <c r="B443" s="3">
        <f t="shared" si="258"/>
        <v>132</v>
      </c>
      <c r="C443" s="4" t="str">
        <f t="shared" si="261"/>
        <v>10000100</v>
      </c>
      <c r="D443" s="2" t="str">
        <f t="shared" si="262"/>
        <v>84</v>
      </c>
      <c r="F443" s="71"/>
      <c r="G443" s="71"/>
      <c r="H443" s="11">
        <f t="shared" si="260"/>
        <v>9</v>
      </c>
      <c r="I443" s="4" t="str">
        <f t="shared" si="263"/>
        <v>01001</v>
      </c>
      <c r="J443" s="1" t="s">
        <v>237</v>
      </c>
      <c r="K443" s="1" t="s">
        <v>240</v>
      </c>
    </row>
    <row r="444" spans="1:11" s="50" customFormat="1" x14ac:dyDescent="0.25">
      <c r="B444" s="69"/>
      <c r="C444" s="75"/>
      <c r="D444" s="72"/>
      <c r="F444" s="71"/>
      <c r="G444" s="71"/>
    </row>
    <row r="445" spans="1:11" s="88" customFormat="1" x14ac:dyDescent="0.25">
      <c r="A445" s="88" t="s">
        <v>231</v>
      </c>
      <c r="B445" s="101">
        <v>192</v>
      </c>
      <c r="C445" s="79" t="str">
        <f t="shared" ref="C445" si="264">TEXT(DEC2BIN(B445), "00000000")</f>
        <v>11000000</v>
      </c>
      <c r="D445" s="80" t="str">
        <f>DEC2HEX(B445)</f>
        <v>C0</v>
      </c>
      <c r="E445" s="88" t="s">
        <v>232</v>
      </c>
      <c r="F445" s="102">
        <v>0</v>
      </c>
      <c r="G445" s="102"/>
      <c r="H445" s="87">
        <v>0</v>
      </c>
      <c r="I445" s="79" t="str">
        <f t="shared" ref="I445:I454" si="265">TEXT(DEC2BIN(H445), "00000")</f>
        <v>00000</v>
      </c>
      <c r="J445" s="81" t="s">
        <v>14</v>
      </c>
      <c r="K445" s="81" t="s">
        <v>18</v>
      </c>
    </row>
    <row r="446" spans="1:11" s="50" customFormat="1" x14ac:dyDescent="0.25">
      <c r="B446" s="3">
        <f t="shared" ref="B446:B454" si="266">(B445)</f>
        <v>192</v>
      </c>
      <c r="C446" s="103" t="str">
        <f t="shared" ref="C446:C454" si="267">TEXT(DEC2BIN(B446), "00000000")</f>
        <v>11000000</v>
      </c>
      <c r="D446" s="25" t="str">
        <f t="shared" ref="D446:D454" si="268">DEC2HEX(B446)</f>
        <v>C0</v>
      </c>
      <c r="F446" s="71">
        <v>0</v>
      </c>
      <c r="G446" s="71"/>
      <c r="H446" s="11">
        <f t="shared" ref="H446:H454" si="269">H445+1</f>
        <v>1</v>
      </c>
      <c r="I446" s="4" t="str">
        <f t="shared" si="265"/>
        <v>00001</v>
      </c>
      <c r="J446" s="1" t="s">
        <v>13</v>
      </c>
      <c r="K446" s="54"/>
    </row>
    <row r="447" spans="1:11" s="50" customFormat="1" x14ac:dyDescent="0.25">
      <c r="B447" s="3">
        <f t="shared" si="266"/>
        <v>192</v>
      </c>
      <c r="C447" s="103" t="str">
        <f t="shared" si="267"/>
        <v>11000000</v>
      </c>
      <c r="D447" s="25" t="str">
        <f t="shared" si="268"/>
        <v>C0</v>
      </c>
      <c r="F447" s="71">
        <v>0</v>
      </c>
      <c r="G447" s="71"/>
      <c r="H447" s="11">
        <f t="shared" si="269"/>
        <v>2</v>
      </c>
      <c r="I447" s="4" t="str">
        <f t="shared" si="265"/>
        <v>00010</v>
      </c>
      <c r="J447" s="11" t="s">
        <v>15</v>
      </c>
      <c r="K447" s="11" t="s">
        <v>21</v>
      </c>
    </row>
    <row r="448" spans="1:11" s="50" customFormat="1" x14ac:dyDescent="0.25">
      <c r="B448" s="3">
        <f t="shared" si="266"/>
        <v>192</v>
      </c>
      <c r="C448" s="103" t="str">
        <f t="shared" si="267"/>
        <v>11000000</v>
      </c>
      <c r="D448" s="25" t="str">
        <f t="shared" si="268"/>
        <v>C0</v>
      </c>
      <c r="F448" s="71">
        <v>0</v>
      </c>
      <c r="G448" s="71"/>
      <c r="H448" s="11">
        <f t="shared" si="269"/>
        <v>3</v>
      </c>
      <c r="I448" s="4" t="str">
        <f t="shared" si="265"/>
        <v>00011</v>
      </c>
      <c r="J448" s="1" t="s">
        <v>195</v>
      </c>
      <c r="K448" s="11" t="s">
        <v>199</v>
      </c>
    </row>
    <row r="449" spans="1:11" s="50" customFormat="1" x14ac:dyDescent="0.25">
      <c r="B449" s="3">
        <f t="shared" si="266"/>
        <v>192</v>
      </c>
      <c r="C449" s="103" t="str">
        <f t="shared" si="267"/>
        <v>11000000</v>
      </c>
      <c r="D449" s="25" t="str">
        <f t="shared" si="268"/>
        <v>C0</v>
      </c>
      <c r="F449" s="71">
        <v>0</v>
      </c>
      <c r="G449" s="71"/>
      <c r="H449" s="11">
        <f t="shared" si="269"/>
        <v>4</v>
      </c>
      <c r="I449" s="4" t="str">
        <f t="shared" si="265"/>
        <v>00100</v>
      </c>
      <c r="J449" s="1" t="s">
        <v>196</v>
      </c>
      <c r="K449" s="1"/>
    </row>
    <row r="450" spans="1:11" s="50" customFormat="1" x14ac:dyDescent="0.25">
      <c r="B450" s="3">
        <f t="shared" si="266"/>
        <v>192</v>
      </c>
      <c r="C450" s="103" t="str">
        <f t="shared" si="267"/>
        <v>11000000</v>
      </c>
      <c r="D450" s="25" t="str">
        <f t="shared" si="268"/>
        <v>C0</v>
      </c>
      <c r="F450" s="71">
        <v>0</v>
      </c>
      <c r="G450" s="71"/>
      <c r="H450" s="11">
        <f t="shared" si="269"/>
        <v>5</v>
      </c>
      <c r="I450" s="4" t="str">
        <f t="shared" si="265"/>
        <v>00101</v>
      </c>
      <c r="J450" s="11" t="s">
        <v>15</v>
      </c>
      <c r="K450" s="11" t="s">
        <v>21</v>
      </c>
    </row>
    <row r="451" spans="1:11" s="50" customFormat="1" x14ac:dyDescent="0.25">
      <c r="B451" s="3">
        <f t="shared" si="266"/>
        <v>192</v>
      </c>
      <c r="C451" s="103" t="str">
        <f t="shared" si="267"/>
        <v>11000000</v>
      </c>
      <c r="D451" s="25" t="str">
        <f t="shared" si="268"/>
        <v>C0</v>
      </c>
      <c r="F451" s="71">
        <v>0</v>
      </c>
      <c r="G451" s="71"/>
      <c r="H451" s="11">
        <f t="shared" si="269"/>
        <v>6</v>
      </c>
      <c r="I451" s="4" t="str">
        <f t="shared" si="265"/>
        <v>00110</v>
      </c>
      <c r="J451" s="1" t="s">
        <v>195</v>
      </c>
      <c r="K451" s="11" t="s">
        <v>200</v>
      </c>
    </row>
    <row r="452" spans="1:11" s="50" customFormat="1" x14ac:dyDescent="0.25">
      <c r="B452" s="3">
        <f t="shared" si="266"/>
        <v>192</v>
      </c>
      <c r="C452" s="103" t="str">
        <f t="shared" si="267"/>
        <v>11000000</v>
      </c>
      <c r="D452" s="25" t="str">
        <f t="shared" si="268"/>
        <v>C0</v>
      </c>
      <c r="F452" s="71">
        <v>0</v>
      </c>
      <c r="G452" s="71"/>
      <c r="H452" s="11">
        <f t="shared" si="269"/>
        <v>7</v>
      </c>
      <c r="I452" s="4" t="str">
        <f t="shared" si="265"/>
        <v>00111</v>
      </c>
      <c r="J452" s="1" t="s">
        <v>202</v>
      </c>
      <c r="K452" s="11"/>
    </row>
    <row r="453" spans="1:11" s="50" customFormat="1" x14ac:dyDescent="0.25">
      <c r="B453" s="3">
        <f t="shared" si="266"/>
        <v>192</v>
      </c>
      <c r="C453" s="103" t="str">
        <f t="shared" si="267"/>
        <v>11000000</v>
      </c>
      <c r="D453" s="25" t="str">
        <f t="shared" si="268"/>
        <v>C0</v>
      </c>
      <c r="F453" s="71">
        <v>0</v>
      </c>
      <c r="G453" s="71"/>
      <c r="H453" s="11">
        <f t="shared" si="269"/>
        <v>8</v>
      </c>
      <c r="I453" s="4" t="str">
        <f t="shared" si="265"/>
        <v>01000</v>
      </c>
      <c r="J453" s="1" t="s">
        <v>201</v>
      </c>
      <c r="K453" s="1" t="s">
        <v>205</v>
      </c>
    </row>
    <row r="454" spans="1:11" s="50" customFormat="1" x14ac:dyDescent="0.25">
      <c r="B454" s="3">
        <f t="shared" si="266"/>
        <v>192</v>
      </c>
      <c r="C454" s="103" t="str">
        <f t="shared" si="267"/>
        <v>11000000</v>
      </c>
      <c r="D454" s="25" t="str">
        <f t="shared" si="268"/>
        <v>C0</v>
      </c>
      <c r="F454" s="71">
        <v>0</v>
      </c>
      <c r="G454" s="71"/>
      <c r="H454" s="11">
        <f t="shared" si="269"/>
        <v>9</v>
      </c>
      <c r="I454" s="4" t="str">
        <f t="shared" si="265"/>
        <v>01001</v>
      </c>
      <c r="J454" s="1" t="s">
        <v>237</v>
      </c>
      <c r="K454" s="1" t="s">
        <v>240</v>
      </c>
    </row>
    <row r="455" spans="1:11" s="50" customFormat="1" x14ac:dyDescent="0.25">
      <c r="B455" s="69"/>
      <c r="C455" s="76"/>
      <c r="D455" s="72"/>
      <c r="F455" s="71"/>
      <c r="G455" s="71"/>
    </row>
    <row r="456" spans="1:11" s="24" customFormat="1" x14ac:dyDescent="0.25">
      <c r="A456" s="24" t="s">
        <v>231</v>
      </c>
      <c r="B456" s="104">
        <v>192</v>
      </c>
      <c r="C456" s="103" t="str">
        <f t="shared" ref="C456:C460" si="270">TEXT(DEC2BIN(B456), "00000000")</f>
        <v>11000000</v>
      </c>
      <c r="D456" s="25" t="str">
        <f t="shared" ref="D456:D460" si="271">DEC2HEX(B456)</f>
        <v>C0</v>
      </c>
      <c r="E456" s="105" t="s">
        <v>234</v>
      </c>
      <c r="F456" s="106">
        <v>1</v>
      </c>
      <c r="G456" s="106"/>
      <c r="H456" s="105">
        <v>0</v>
      </c>
      <c r="I456" s="103" t="str">
        <f>TEXT(DEC2BIN(H456), "00000")</f>
        <v>00000</v>
      </c>
      <c r="J456" s="105" t="s">
        <v>14</v>
      </c>
      <c r="K456" s="105" t="s">
        <v>18</v>
      </c>
    </row>
    <row r="457" spans="1:11" x14ac:dyDescent="0.25">
      <c r="B457" s="3">
        <f t="shared" ref="B457:B460" si="272">(B456)</f>
        <v>192</v>
      </c>
      <c r="C457" s="4" t="str">
        <f t="shared" si="270"/>
        <v>11000000</v>
      </c>
      <c r="D457" s="2" t="str">
        <f t="shared" si="271"/>
        <v>C0</v>
      </c>
      <c r="E457" s="1"/>
      <c r="F457" s="12">
        <v>1</v>
      </c>
      <c r="G457" s="12"/>
      <c r="H457" s="1">
        <f>H456+1</f>
        <v>1</v>
      </c>
      <c r="I457" s="4" t="str">
        <f>TEXT(DEC2BIN(H457), "00000")</f>
        <v>00001</v>
      </c>
      <c r="J457" s="1" t="s">
        <v>13</v>
      </c>
      <c r="K457" s="1"/>
    </row>
    <row r="458" spans="1:11" x14ac:dyDescent="0.25">
      <c r="B458" s="3">
        <f t="shared" si="272"/>
        <v>192</v>
      </c>
      <c r="C458" s="4" t="str">
        <f t="shared" si="270"/>
        <v>11000000</v>
      </c>
      <c r="D458" s="2" t="str">
        <f t="shared" si="271"/>
        <v>C0</v>
      </c>
      <c r="E458" s="1"/>
      <c r="F458" s="12">
        <v>1</v>
      </c>
      <c r="G458" s="12"/>
      <c r="H458" s="1">
        <f>H457+1</f>
        <v>2</v>
      </c>
      <c r="I458" s="4" t="str">
        <f>TEXT(DEC2BIN(H458), "00000")</f>
        <v>00010</v>
      </c>
      <c r="J458" s="1" t="s">
        <v>15</v>
      </c>
      <c r="K458" s="1" t="s">
        <v>242</v>
      </c>
    </row>
    <row r="459" spans="1:11" x14ac:dyDescent="0.25">
      <c r="B459" s="3">
        <f t="shared" si="272"/>
        <v>192</v>
      </c>
      <c r="C459" s="4" t="str">
        <f t="shared" si="270"/>
        <v>11000000</v>
      </c>
      <c r="D459" s="2" t="str">
        <f t="shared" si="271"/>
        <v>C0</v>
      </c>
      <c r="E459" s="1"/>
      <c r="F459" s="12">
        <v>1</v>
      </c>
      <c r="G459" s="12"/>
      <c r="H459" s="1">
        <f>H458+1</f>
        <v>3</v>
      </c>
      <c r="I459" s="4" t="str">
        <f>TEXT(DEC2BIN(H459), "00000")</f>
        <v>00011</v>
      </c>
      <c r="J459" s="1"/>
      <c r="K459" s="1"/>
    </row>
    <row r="460" spans="1:11" x14ac:dyDescent="0.25">
      <c r="B460" s="3">
        <f t="shared" si="272"/>
        <v>192</v>
      </c>
      <c r="C460" s="4" t="str">
        <f t="shared" si="270"/>
        <v>11000000</v>
      </c>
      <c r="D460" s="2" t="str">
        <f t="shared" si="271"/>
        <v>C0</v>
      </c>
      <c r="E460" s="1"/>
      <c r="F460" s="12">
        <v>1</v>
      </c>
      <c r="G460" s="12"/>
      <c r="H460" s="1">
        <f>H459+1</f>
        <v>4</v>
      </c>
      <c r="I460" s="4" t="str">
        <f>TEXT(DEC2BIN(H460), "00000")</f>
        <v>00100</v>
      </c>
      <c r="J460" s="1" t="s">
        <v>236</v>
      </c>
      <c r="K460" s="1" t="s">
        <v>241</v>
      </c>
    </row>
    <row r="461" spans="1:11" x14ac:dyDescent="0.25">
      <c r="B461" s="3"/>
      <c r="C461" s="4"/>
      <c r="E461" s="1"/>
      <c r="F461" s="12"/>
      <c r="G461" s="12"/>
      <c r="H461" s="1"/>
      <c r="I461" s="4"/>
      <c r="J461" s="1"/>
      <c r="K461" s="1"/>
    </row>
    <row r="462" spans="1:11" s="50" customFormat="1" x14ac:dyDescent="0.25">
      <c r="A462" s="50" t="s">
        <v>233</v>
      </c>
      <c r="B462" s="69">
        <v>193</v>
      </c>
      <c r="C462" s="103" t="str">
        <f t="shared" ref="C462:C471" si="273">TEXT(DEC2BIN(B462), "00000000")</f>
        <v>11000001</v>
      </c>
      <c r="D462" s="25" t="str">
        <f>DEC2HEX(B462)</f>
        <v>C1</v>
      </c>
      <c r="E462" s="50" t="s">
        <v>235</v>
      </c>
      <c r="F462" s="71">
        <v>1</v>
      </c>
      <c r="G462" s="71"/>
      <c r="H462" s="11">
        <v>0</v>
      </c>
      <c r="I462" s="103" t="str">
        <f t="shared" ref="I462:I471" si="274">TEXT(DEC2BIN(H462), "00000")</f>
        <v>00000</v>
      </c>
      <c r="J462" s="105" t="s">
        <v>14</v>
      </c>
      <c r="K462" s="105" t="s">
        <v>18</v>
      </c>
    </row>
    <row r="463" spans="1:11" s="50" customFormat="1" x14ac:dyDescent="0.25">
      <c r="B463" s="3">
        <f t="shared" ref="B463:B471" si="275">(B462)</f>
        <v>193</v>
      </c>
      <c r="C463" s="103" t="str">
        <f t="shared" si="273"/>
        <v>11000001</v>
      </c>
      <c r="D463" s="25" t="str">
        <f t="shared" ref="D463:D471" si="276">DEC2HEX(B463)</f>
        <v>C1</v>
      </c>
      <c r="F463" s="71">
        <v>1</v>
      </c>
      <c r="G463" s="71"/>
      <c r="H463" s="11">
        <f t="shared" ref="H463:H471" si="277">H462+1</f>
        <v>1</v>
      </c>
      <c r="I463" s="4" t="str">
        <f t="shared" si="274"/>
        <v>00001</v>
      </c>
      <c r="J463" s="1" t="s">
        <v>13</v>
      </c>
      <c r="K463" s="54"/>
    </row>
    <row r="464" spans="1:11" s="50" customFormat="1" x14ac:dyDescent="0.25">
      <c r="B464" s="3">
        <f t="shared" si="275"/>
        <v>193</v>
      </c>
      <c r="C464" s="103" t="str">
        <f t="shared" si="273"/>
        <v>11000001</v>
      </c>
      <c r="D464" s="25" t="str">
        <f t="shared" si="276"/>
        <v>C1</v>
      </c>
      <c r="F464" s="71">
        <v>1</v>
      </c>
      <c r="G464" s="71"/>
      <c r="H464" s="11">
        <f t="shared" si="277"/>
        <v>2</v>
      </c>
      <c r="I464" s="4" t="str">
        <f t="shared" si="274"/>
        <v>00010</v>
      </c>
      <c r="J464" s="11" t="s">
        <v>15</v>
      </c>
      <c r="K464" s="11" t="s">
        <v>21</v>
      </c>
    </row>
    <row r="465" spans="1:11" s="50" customFormat="1" x14ac:dyDescent="0.25">
      <c r="B465" s="3">
        <f t="shared" si="275"/>
        <v>193</v>
      </c>
      <c r="C465" s="103" t="str">
        <f t="shared" si="273"/>
        <v>11000001</v>
      </c>
      <c r="D465" s="25" t="str">
        <f t="shared" si="276"/>
        <v>C1</v>
      </c>
      <c r="F465" s="71">
        <v>1</v>
      </c>
      <c r="G465" s="71"/>
      <c r="H465" s="11">
        <f t="shared" si="277"/>
        <v>3</v>
      </c>
      <c r="I465" s="4" t="str">
        <f t="shared" si="274"/>
        <v>00011</v>
      </c>
      <c r="J465" s="1" t="s">
        <v>195</v>
      </c>
      <c r="K465" s="11" t="s">
        <v>199</v>
      </c>
    </row>
    <row r="466" spans="1:11" s="50" customFormat="1" x14ac:dyDescent="0.25">
      <c r="B466" s="3">
        <f t="shared" si="275"/>
        <v>193</v>
      </c>
      <c r="C466" s="103" t="str">
        <f t="shared" si="273"/>
        <v>11000001</v>
      </c>
      <c r="D466" s="25" t="str">
        <f t="shared" si="276"/>
        <v>C1</v>
      </c>
      <c r="F466" s="71">
        <v>1</v>
      </c>
      <c r="G466" s="71"/>
      <c r="H466" s="11">
        <f t="shared" si="277"/>
        <v>4</v>
      </c>
      <c r="I466" s="4" t="str">
        <f t="shared" si="274"/>
        <v>00100</v>
      </c>
      <c r="J466" s="1" t="s">
        <v>196</v>
      </c>
      <c r="K466" s="1"/>
    </row>
    <row r="467" spans="1:11" s="50" customFormat="1" x14ac:dyDescent="0.25">
      <c r="B467" s="3">
        <f t="shared" si="275"/>
        <v>193</v>
      </c>
      <c r="C467" s="103" t="str">
        <f t="shared" si="273"/>
        <v>11000001</v>
      </c>
      <c r="D467" s="25" t="str">
        <f t="shared" si="276"/>
        <v>C1</v>
      </c>
      <c r="F467" s="71">
        <v>1</v>
      </c>
      <c r="G467" s="71"/>
      <c r="H467" s="11">
        <f t="shared" si="277"/>
        <v>5</v>
      </c>
      <c r="I467" s="4" t="str">
        <f t="shared" si="274"/>
        <v>00101</v>
      </c>
      <c r="J467" s="11" t="s">
        <v>15</v>
      </c>
      <c r="K467" s="11" t="s">
        <v>21</v>
      </c>
    </row>
    <row r="468" spans="1:11" s="50" customFormat="1" x14ac:dyDescent="0.25">
      <c r="B468" s="3">
        <f t="shared" si="275"/>
        <v>193</v>
      </c>
      <c r="C468" s="103" t="str">
        <f t="shared" si="273"/>
        <v>11000001</v>
      </c>
      <c r="D468" s="25" t="str">
        <f t="shared" si="276"/>
        <v>C1</v>
      </c>
      <c r="F468" s="71">
        <v>1</v>
      </c>
      <c r="G468" s="71"/>
      <c r="H468" s="11">
        <f t="shared" si="277"/>
        <v>6</v>
      </c>
      <c r="I468" s="4" t="str">
        <f t="shared" si="274"/>
        <v>00110</v>
      </c>
      <c r="J468" s="1" t="s">
        <v>195</v>
      </c>
      <c r="K468" s="11" t="s">
        <v>200</v>
      </c>
    </row>
    <row r="469" spans="1:11" s="50" customFormat="1" x14ac:dyDescent="0.25">
      <c r="B469" s="3">
        <f t="shared" si="275"/>
        <v>193</v>
      </c>
      <c r="C469" s="103" t="str">
        <f t="shared" si="273"/>
        <v>11000001</v>
      </c>
      <c r="D469" s="25" t="str">
        <f t="shared" si="276"/>
        <v>C1</v>
      </c>
      <c r="F469" s="71">
        <v>1</v>
      </c>
      <c r="G469" s="71"/>
      <c r="H469" s="11">
        <f t="shared" si="277"/>
        <v>7</v>
      </c>
      <c r="I469" s="4" t="str">
        <f t="shared" si="274"/>
        <v>00111</v>
      </c>
      <c r="J469" s="1" t="s">
        <v>202</v>
      </c>
      <c r="K469" s="11"/>
    </row>
    <row r="470" spans="1:11" s="50" customFormat="1" x14ac:dyDescent="0.25">
      <c r="B470" s="3">
        <f t="shared" si="275"/>
        <v>193</v>
      </c>
      <c r="C470" s="103" t="str">
        <f t="shared" si="273"/>
        <v>11000001</v>
      </c>
      <c r="D470" s="25" t="str">
        <f t="shared" si="276"/>
        <v>C1</v>
      </c>
      <c r="F470" s="71">
        <v>1</v>
      </c>
      <c r="G470" s="71"/>
      <c r="H470" s="11">
        <f t="shared" si="277"/>
        <v>8</v>
      </c>
      <c r="I470" s="4" t="str">
        <f t="shared" si="274"/>
        <v>01000</v>
      </c>
      <c r="J470" s="1" t="s">
        <v>201</v>
      </c>
      <c r="K470" s="1" t="s">
        <v>205</v>
      </c>
    </row>
    <row r="471" spans="1:11" s="50" customFormat="1" x14ac:dyDescent="0.25">
      <c r="B471" s="3">
        <f t="shared" si="275"/>
        <v>193</v>
      </c>
      <c r="C471" s="103" t="str">
        <f t="shared" si="273"/>
        <v>11000001</v>
      </c>
      <c r="D471" s="25" t="str">
        <f t="shared" si="276"/>
        <v>C1</v>
      </c>
      <c r="F471" s="71">
        <v>1</v>
      </c>
      <c r="G471" s="71"/>
      <c r="H471" s="11">
        <f t="shared" si="277"/>
        <v>9</v>
      </c>
      <c r="I471" s="4" t="str">
        <f t="shared" si="274"/>
        <v>01001</v>
      </c>
      <c r="J471" s="1" t="s">
        <v>237</v>
      </c>
      <c r="K471" s="1" t="s">
        <v>240</v>
      </c>
    </row>
    <row r="472" spans="1:11" s="50" customFormat="1" x14ac:dyDescent="0.25">
      <c r="B472" s="69"/>
      <c r="C472" s="76"/>
      <c r="D472" s="72"/>
      <c r="F472" s="71"/>
      <c r="G472" s="71"/>
    </row>
    <row r="473" spans="1:11" s="24" customFormat="1" x14ac:dyDescent="0.25">
      <c r="A473" s="24" t="s">
        <v>231</v>
      </c>
      <c r="B473" s="104">
        <v>193</v>
      </c>
      <c r="C473" s="103" t="str">
        <f t="shared" ref="C473:C474" si="278">TEXT(DEC2BIN(B473), "00000000")</f>
        <v>11000001</v>
      </c>
      <c r="D473" s="25" t="str">
        <f t="shared" ref="D473:D474" si="279">DEC2HEX(B473)</f>
        <v>C1</v>
      </c>
      <c r="E473" s="105" t="s">
        <v>243</v>
      </c>
      <c r="F473" s="106">
        <v>0</v>
      </c>
      <c r="G473" s="106"/>
      <c r="H473" s="105">
        <v>0</v>
      </c>
      <c r="I473" s="103" t="str">
        <f>TEXT(DEC2BIN(H473), "00000")</f>
        <v>00000</v>
      </c>
      <c r="J473" s="105" t="s">
        <v>14</v>
      </c>
      <c r="K473" s="105" t="s">
        <v>18</v>
      </c>
    </row>
    <row r="474" spans="1:11" x14ac:dyDescent="0.25">
      <c r="B474" s="3">
        <f t="shared" ref="B474:B477" si="280">(B473)</f>
        <v>193</v>
      </c>
      <c r="C474" s="4" t="str">
        <f t="shared" si="278"/>
        <v>11000001</v>
      </c>
      <c r="D474" s="2" t="str">
        <f t="shared" si="279"/>
        <v>C1</v>
      </c>
      <c r="E474" s="1"/>
      <c r="F474" s="12">
        <v>0</v>
      </c>
      <c r="G474" s="12"/>
      <c r="H474" s="1">
        <f>H473+1</f>
        <v>1</v>
      </c>
      <c r="I474" s="4" t="str">
        <f>TEXT(DEC2BIN(H474), "00000")</f>
        <v>00001</v>
      </c>
      <c r="J474" s="1" t="s">
        <v>13</v>
      </c>
      <c r="K474" s="1"/>
    </row>
    <row r="475" spans="1:11" x14ac:dyDescent="0.25">
      <c r="B475" s="3">
        <f t="shared" si="280"/>
        <v>193</v>
      </c>
      <c r="C475" s="4" t="str">
        <f t="shared" ref="C475:C477" si="281">TEXT(DEC2BIN(B475), "00000000")</f>
        <v>11000001</v>
      </c>
      <c r="D475" s="2" t="str">
        <f t="shared" ref="D475:D477" si="282">DEC2HEX(B475)</f>
        <v>C1</v>
      </c>
      <c r="E475" s="1"/>
      <c r="F475" s="12">
        <v>0</v>
      </c>
      <c r="G475" s="12"/>
      <c r="H475" s="1">
        <f>H474+1</f>
        <v>2</v>
      </c>
      <c r="I475" s="4" t="str">
        <f>TEXT(DEC2BIN(H475), "00000")</f>
        <v>00010</v>
      </c>
      <c r="J475" s="1" t="s">
        <v>15</v>
      </c>
      <c r="K475" s="1" t="s">
        <v>242</v>
      </c>
    </row>
    <row r="476" spans="1:11" x14ac:dyDescent="0.25">
      <c r="B476" s="3">
        <f t="shared" si="280"/>
        <v>193</v>
      </c>
      <c r="C476" s="4" t="str">
        <f t="shared" si="281"/>
        <v>11000001</v>
      </c>
      <c r="D476" s="2" t="str">
        <f t="shared" si="282"/>
        <v>C1</v>
      </c>
      <c r="E476" s="1"/>
      <c r="F476" s="12">
        <v>0</v>
      </c>
      <c r="G476" s="12"/>
      <c r="H476" s="1">
        <f>H475+1</f>
        <v>3</v>
      </c>
      <c r="I476" s="4" t="str">
        <f>TEXT(DEC2BIN(H476), "00000")</f>
        <v>00011</v>
      </c>
      <c r="J476" s="1"/>
      <c r="K476" s="1"/>
    </row>
    <row r="477" spans="1:11" x14ac:dyDescent="0.25">
      <c r="B477" s="3">
        <f t="shared" si="280"/>
        <v>193</v>
      </c>
      <c r="C477" s="4" t="str">
        <f t="shared" si="281"/>
        <v>11000001</v>
      </c>
      <c r="D477" s="2" t="str">
        <f t="shared" si="282"/>
        <v>C1</v>
      </c>
      <c r="E477" s="1"/>
      <c r="F477" s="12">
        <v>0</v>
      </c>
      <c r="G477" s="12"/>
      <c r="H477" s="1">
        <f>H476+1</f>
        <v>4</v>
      </c>
      <c r="I477" s="4" t="str">
        <f>TEXT(DEC2BIN(H477), "00000")</f>
        <v>00100</v>
      </c>
      <c r="J477" s="1" t="s">
        <v>236</v>
      </c>
      <c r="K477" s="1" t="s">
        <v>241</v>
      </c>
    </row>
    <row r="478" spans="1:11" s="50" customFormat="1" x14ac:dyDescent="0.25">
      <c r="B478" s="69"/>
      <c r="C478" s="76"/>
      <c r="D478" s="72"/>
      <c r="F478" s="71"/>
      <c r="G478" s="71"/>
    </row>
    <row r="479" spans="1:11" s="88" customFormat="1" x14ac:dyDescent="0.25">
      <c r="A479" s="88" t="s">
        <v>246</v>
      </c>
      <c r="B479" s="101">
        <v>194</v>
      </c>
      <c r="C479" s="79" t="str">
        <f t="shared" ref="C479:C488" si="283">TEXT(DEC2BIN(B479), "00000000")</f>
        <v>11000010</v>
      </c>
      <c r="D479" s="80" t="str">
        <f>DEC2HEX(B479)</f>
        <v>C2</v>
      </c>
      <c r="E479" s="88" t="s">
        <v>248</v>
      </c>
      <c r="F479" s="102">
        <v>0</v>
      </c>
      <c r="G479" s="102"/>
      <c r="H479" s="87">
        <v>0</v>
      </c>
      <c r="I479" s="79" t="str">
        <f t="shared" ref="I479:I488" si="284">TEXT(DEC2BIN(H479), "00000")</f>
        <v>00000</v>
      </c>
      <c r="J479" s="81" t="s">
        <v>14</v>
      </c>
      <c r="K479" s="81" t="s">
        <v>18</v>
      </c>
    </row>
    <row r="480" spans="1:11" s="50" customFormat="1" x14ac:dyDescent="0.25">
      <c r="B480" s="69">
        <f>B479</f>
        <v>194</v>
      </c>
      <c r="C480" s="103" t="str">
        <f t="shared" si="283"/>
        <v>11000010</v>
      </c>
      <c r="D480" s="25" t="str">
        <f t="shared" ref="D480:D488" si="285">DEC2HEX(B480)</f>
        <v>C2</v>
      </c>
      <c r="F480" s="71">
        <v>0</v>
      </c>
      <c r="G480" s="71"/>
      <c r="H480" s="11">
        <f t="shared" ref="H480:H488" si="286">H479+1</f>
        <v>1</v>
      </c>
      <c r="I480" s="4" t="str">
        <f t="shared" si="284"/>
        <v>00001</v>
      </c>
      <c r="J480" s="1" t="s">
        <v>13</v>
      </c>
      <c r="K480" s="54"/>
    </row>
    <row r="481" spans="1:11" s="50" customFormat="1" x14ac:dyDescent="0.25">
      <c r="B481" s="69">
        <f t="shared" ref="B481:B488" si="287">B480</f>
        <v>194</v>
      </c>
      <c r="C481" s="103" t="str">
        <f t="shared" si="283"/>
        <v>11000010</v>
      </c>
      <c r="D481" s="25" t="str">
        <f t="shared" si="285"/>
        <v>C2</v>
      </c>
      <c r="F481" s="71">
        <v>0</v>
      </c>
      <c r="G481" s="71"/>
      <c r="H481" s="11">
        <f t="shared" si="286"/>
        <v>2</v>
      </c>
      <c r="I481" s="4" t="str">
        <f t="shared" si="284"/>
        <v>00010</v>
      </c>
      <c r="J481" s="11" t="s">
        <v>15</v>
      </c>
      <c r="K481" s="11" t="s">
        <v>21</v>
      </c>
    </row>
    <row r="482" spans="1:11" s="50" customFormat="1" x14ac:dyDescent="0.25">
      <c r="B482" s="69">
        <f t="shared" si="287"/>
        <v>194</v>
      </c>
      <c r="C482" s="103" t="str">
        <f t="shared" si="283"/>
        <v>11000010</v>
      </c>
      <c r="D482" s="25" t="str">
        <f t="shared" si="285"/>
        <v>C2</v>
      </c>
      <c r="F482" s="71">
        <v>0</v>
      </c>
      <c r="G482" s="71"/>
      <c r="H482" s="11">
        <f t="shared" si="286"/>
        <v>3</v>
      </c>
      <c r="I482" s="4" t="str">
        <f t="shared" si="284"/>
        <v>00011</v>
      </c>
      <c r="J482" s="1" t="s">
        <v>195</v>
      </c>
      <c r="K482" s="11" t="s">
        <v>199</v>
      </c>
    </row>
    <row r="483" spans="1:11" s="50" customFormat="1" x14ac:dyDescent="0.25">
      <c r="B483" s="69">
        <f t="shared" si="287"/>
        <v>194</v>
      </c>
      <c r="C483" s="103" t="str">
        <f t="shared" si="283"/>
        <v>11000010</v>
      </c>
      <c r="D483" s="25" t="str">
        <f t="shared" si="285"/>
        <v>C2</v>
      </c>
      <c r="F483" s="71">
        <v>0</v>
      </c>
      <c r="G483" s="71"/>
      <c r="H483" s="11">
        <f t="shared" si="286"/>
        <v>4</v>
      </c>
      <c r="I483" s="4" t="str">
        <f t="shared" si="284"/>
        <v>00100</v>
      </c>
      <c r="J483" s="1" t="s">
        <v>196</v>
      </c>
      <c r="K483" s="1"/>
    </row>
    <row r="484" spans="1:11" s="50" customFormat="1" x14ac:dyDescent="0.25">
      <c r="B484" s="69">
        <f t="shared" si="287"/>
        <v>194</v>
      </c>
      <c r="C484" s="103" t="str">
        <f t="shared" si="283"/>
        <v>11000010</v>
      </c>
      <c r="D484" s="25" t="str">
        <f t="shared" si="285"/>
        <v>C2</v>
      </c>
      <c r="F484" s="71">
        <v>0</v>
      </c>
      <c r="G484" s="71"/>
      <c r="H484" s="11">
        <f t="shared" si="286"/>
        <v>5</v>
      </c>
      <c r="I484" s="4" t="str">
        <f t="shared" si="284"/>
        <v>00101</v>
      </c>
      <c r="J484" s="11" t="s">
        <v>15</v>
      </c>
      <c r="K484" s="11" t="s">
        <v>21</v>
      </c>
    </row>
    <row r="485" spans="1:11" s="50" customFormat="1" x14ac:dyDescent="0.25">
      <c r="B485" s="69">
        <f t="shared" si="287"/>
        <v>194</v>
      </c>
      <c r="C485" s="103" t="str">
        <f t="shared" si="283"/>
        <v>11000010</v>
      </c>
      <c r="D485" s="25" t="str">
        <f t="shared" si="285"/>
        <v>C2</v>
      </c>
      <c r="F485" s="71">
        <v>0</v>
      </c>
      <c r="G485" s="71"/>
      <c r="H485" s="11">
        <f t="shared" si="286"/>
        <v>6</v>
      </c>
      <c r="I485" s="4" t="str">
        <f t="shared" si="284"/>
        <v>00110</v>
      </c>
      <c r="J485" s="1" t="s">
        <v>195</v>
      </c>
      <c r="K485" s="11" t="s">
        <v>200</v>
      </c>
    </row>
    <row r="486" spans="1:11" s="50" customFormat="1" x14ac:dyDescent="0.25">
      <c r="B486" s="69">
        <f t="shared" si="287"/>
        <v>194</v>
      </c>
      <c r="C486" s="103" t="str">
        <f t="shared" si="283"/>
        <v>11000010</v>
      </c>
      <c r="D486" s="25" t="str">
        <f t="shared" si="285"/>
        <v>C2</v>
      </c>
      <c r="F486" s="71">
        <v>0</v>
      </c>
      <c r="G486" s="71"/>
      <c r="H486" s="11">
        <f t="shared" si="286"/>
        <v>7</v>
      </c>
      <c r="I486" s="4" t="str">
        <f t="shared" si="284"/>
        <v>00111</v>
      </c>
      <c r="J486" s="1" t="s">
        <v>202</v>
      </c>
      <c r="K486" s="11"/>
    </row>
    <row r="487" spans="1:11" s="50" customFormat="1" x14ac:dyDescent="0.25">
      <c r="B487" s="69">
        <f t="shared" si="287"/>
        <v>194</v>
      </c>
      <c r="C487" s="103" t="str">
        <f t="shared" si="283"/>
        <v>11000010</v>
      </c>
      <c r="D487" s="25" t="str">
        <f t="shared" si="285"/>
        <v>C2</v>
      </c>
      <c r="F487" s="71">
        <v>0</v>
      </c>
      <c r="G487" s="71"/>
      <c r="H487" s="11">
        <f t="shared" si="286"/>
        <v>8</v>
      </c>
      <c r="I487" s="4" t="str">
        <f t="shared" si="284"/>
        <v>01000</v>
      </c>
      <c r="J487" s="1" t="s">
        <v>201</v>
      </c>
      <c r="K487" s="1" t="s">
        <v>205</v>
      </c>
    </row>
    <row r="488" spans="1:11" s="50" customFormat="1" x14ac:dyDescent="0.25">
      <c r="B488" s="69">
        <f t="shared" si="287"/>
        <v>194</v>
      </c>
      <c r="C488" s="103" t="str">
        <f t="shared" si="283"/>
        <v>11000010</v>
      </c>
      <c r="D488" s="25" t="str">
        <f t="shared" si="285"/>
        <v>C2</v>
      </c>
      <c r="F488" s="71">
        <v>0</v>
      </c>
      <c r="G488" s="71"/>
      <c r="H488" s="11">
        <f t="shared" si="286"/>
        <v>9</v>
      </c>
      <c r="I488" s="4" t="str">
        <f t="shared" si="284"/>
        <v>01001</v>
      </c>
      <c r="J488" s="1" t="s">
        <v>237</v>
      </c>
      <c r="K488" s="1" t="s">
        <v>240</v>
      </c>
    </row>
    <row r="489" spans="1:11" s="50" customFormat="1" x14ac:dyDescent="0.25">
      <c r="B489" s="69"/>
      <c r="C489" s="76"/>
      <c r="D489" s="72"/>
      <c r="F489" s="71"/>
      <c r="G489" s="71"/>
    </row>
    <row r="490" spans="1:11" s="24" customFormat="1" x14ac:dyDescent="0.25">
      <c r="A490" s="24" t="s">
        <v>246</v>
      </c>
      <c r="B490" s="104">
        <v>194</v>
      </c>
      <c r="C490" s="103" t="str">
        <f t="shared" ref="C490:C494" si="288">TEXT(DEC2BIN(B490), "00000000")</f>
        <v>11000010</v>
      </c>
      <c r="D490" s="25" t="str">
        <f t="shared" ref="D490:D494" si="289">DEC2HEX(B490)</f>
        <v>C2</v>
      </c>
      <c r="E490" s="105" t="s">
        <v>249</v>
      </c>
      <c r="F490" s="106">
        <v>1</v>
      </c>
      <c r="G490" s="106"/>
      <c r="H490" s="105">
        <v>0</v>
      </c>
      <c r="I490" s="103" t="str">
        <f>TEXT(DEC2BIN(H490), "00000")</f>
        <v>00000</v>
      </c>
      <c r="J490" s="105" t="s">
        <v>14</v>
      </c>
      <c r="K490" s="105" t="s">
        <v>18</v>
      </c>
    </row>
    <row r="491" spans="1:11" x14ac:dyDescent="0.25">
      <c r="B491" s="69">
        <f t="shared" ref="B491:B494" si="290">B490</f>
        <v>194</v>
      </c>
      <c r="C491" s="4" t="str">
        <f t="shared" si="288"/>
        <v>11000010</v>
      </c>
      <c r="D491" s="2" t="str">
        <f t="shared" si="289"/>
        <v>C2</v>
      </c>
      <c r="E491" s="1"/>
      <c r="F491" s="12">
        <v>1</v>
      </c>
      <c r="G491" s="12"/>
      <c r="H491" s="1">
        <f>H490+1</f>
        <v>1</v>
      </c>
      <c r="I491" s="4" t="str">
        <f>TEXT(DEC2BIN(H491), "00000")</f>
        <v>00001</v>
      </c>
      <c r="J491" s="1" t="s">
        <v>13</v>
      </c>
      <c r="K491" s="1"/>
    </row>
    <row r="492" spans="1:11" x14ac:dyDescent="0.25">
      <c r="B492" s="69">
        <f t="shared" si="290"/>
        <v>194</v>
      </c>
      <c r="C492" s="4" t="str">
        <f t="shared" si="288"/>
        <v>11000010</v>
      </c>
      <c r="D492" s="2" t="str">
        <f t="shared" si="289"/>
        <v>C2</v>
      </c>
      <c r="E492" s="1"/>
      <c r="F492" s="12">
        <v>1</v>
      </c>
      <c r="G492" s="12"/>
      <c r="H492" s="1">
        <f>H491+1</f>
        <v>2</v>
      </c>
      <c r="I492" s="4" t="str">
        <f>TEXT(DEC2BIN(H492), "00000")</f>
        <v>00010</v>
      </c>
      <c r="J492" s="1" t="s">
        <v>15</v>
      </c>
      <c r="K492" s="1" t="s">
        <v>242</v>
      </c>
    </row>
    <row r="493" spans="1:11" x14ac:dyDescent="0.25">
      <c r="B493" s="69">
        <f t="shared" si="290"/>
        <v>194</v>
      </c>
      <c r="C493" s="4" t="str">
        <f t="shared" si="288"/>
        <v>11000010</v>
      </c>
      <c r="D493" s="2" t="str">
        <f t="shared" si="289"/>
        <v>C2</v>
      </c>
      <c r="E493" s="1"/>
      <c r="F493" s="12">
        <v>1</v>
      </c>
      <c r="G493" s="12"/>
      <c r="H493" s="1">
        <f>H492+1</f>
        <v>3</v>
      </c>
      <c r="I493" s="4" t="str">
        <f>TEXT(DEC2BIN(H493), "00000")</f>
        <v>00011</v>
      </c>
      <c r="J493" s="1"/>
      <c r="K493" s="1"/>
    </row>
    <row r="494" spans="1:11" x14ac:dyDescent="0.25">
      <c r="B494" s="69">
        <f t="shared" si="290"/>
        <v>194</v>
      </c>
      <c r="C494" s="4" t="str">
        <f t="shared" si="288"/>
        <v>11000010</v>
      </c>
      <c r="D494" s="2" t="str">
        <f t="shared" si="289"/>
        <v>C2</v>
      </c>
      <c r="E494" s="1"/>
      <c r="F494" s="12">
        <v>1</v>
      </c>
      <c r="G494" s="12"/>
      <c r="H494" s="1">
        <f>H493+1</f>
        <v>4</v>
      </c>
      <c r="I494" s="4" t="str">
        <f>TEXT(DEC2BIN(H494), "00000")</f>
        <v>00100</v>
      </c>
      <c r="J494" s="1" t="s">
        <v>236</v>
      </c>
      <c r="K494" s="1" t="s">
        <v>241</v>
      </c>
    </row>
    <row r="495" spans="1:11" x14ac:dyDescent="0.25">
      <c r="B495" s="3"/>
      <c r="C495" s="4"/>
      <c r="E495" s="1"/>
      <c r="F495" s="12"/>
      <c r="G495" s="12"/>
      <c r="H495" s="1"/>
      <c r="I495" s="4"/>
      <c r="J495" s="1"/>
      <c r="K495" s="1"/>
    </row>
    <row r="496" spans="1:11" s="50" customFormat="1" x14ac:dyDescent="0.25">
      <c r="A496" s="50" t="s">
        <v>247</v>
      </c>
      <c r="B496" s="69">
        <v>195</v>
      </c>
      <c r="C496" s="103" t="str">
        <f t="shared" ref="C496:C505" si="291">TEXT(DEC2BIN(B496), "00000000")</f>
        <v>11000011</v>
      </c>
      <c r="D496" s="25" t="str">
        <f>DEC2HEX(B496)</f>
        <v>C3</v>
      </c>
      <c r="E496" s="50" t="s">
        <v>250</v>
      </c>
      <c r="F496" s="71">
        <v>1</v>
      </c>
      <c r="G496" s="71"/>
      <c r="H496" s="11">
        <v>0</v>
      </c>
      <c r="I496" s="103" t="str">
        <f t="shared" ref="I496:I505" si="292">TEXT(DEC2BIN(H496), "00000")</f>
        <v>00000</v>
      </c>
      <c r="J496" s="105" t="s">
        <v>14</v>
      </c>
      <c r="K496" s="105" t="s">
        <v>18</v>
      </c>
    </row>
    <row r="497" spans="1:11" s="50" customFormat="1" x14ac:dyDescent="0.25">
      <c r="B497" s="69">
        <f t="shared" ref="B497:B505" si="293">B496</f>
        <v>195</v>
      </c>
      <c r="C497" s="103" t="str">
        <f t="shared" si="291"/>
        <v>11000011</v>
      </c>
      <c r="D497" s="25" t="str">
        <f t="shared" ref="D497:D505" si="294">DEC2HEX(B497)</f>
        <v>C3</v>
      </c>
      <c r="F497" s="71">
        <v>1</v>
      </c>
      <c r="G497" s="71"/>
      <c r="H497" s="11">
        <f t="shared" ref="H497:H505" si="295">H496+1</f>
        <v>1</v>
      </c>
      <c r="I497" s="4" t="str">
        <f t="shared" si="292"/>
        <v>00001</v>
      </c>
      <c r="J497" s="1" t="s">
        <v>13</v>
      </c>
      <c r="K497" s="54"/>
    </row>
    <row r="498" spans="1:11" s="50" customFormat="1" x14ac:dyDescent="0.25">
      <c r="B498" s="69">
        <f t="shared" si="293"/>
        <v>195</v>
      </c>
      <c r="C498" s="103" t="str">
        <f t="shared" si="291"/>
        <v>11000011</v>
      </c>
      <c r="D498" s="25" t="str">
        <f t="shared" si="294"/>
        <v>C3</v>
      </c>
      <c r="F498" s="71">
        <v>1</v>
      </c>
      <c r="G498" s="71"/>
      <c r="H498" s="11">
        <f t="shared" si="295"/>
        <v>2</v>
      </c>
      <c r="I498" s="4" t="str">
        <f t="shared" si="292"/>
        <v>00010</v>
      </c>
      <c r="J498" s="11" t="s">
        <v>15</v>
      </c>
      <c r="K498" s="11" t="s">
        <v>21</v>
      </c>
    </row>
    <row r="499" spans="1:11" s="50" customFormat="1" x14ac:dyDescent="0.25">
      <c r="B499" s="69">
        <f t="shared" si="293"/>
        <v>195</v>
      </c>
      <c r="C499" s="103" t="str">
        <f t="shared" si="291"/>
        <v>11000011</v>
      </c>
      <c r="D499" s="25" t="str">
        <f t="shared" si="294"/>
        <v>C3</v>
      </c>
      <c r="F499" s="71">
        <v>1</v>
      </c>
      <c r="G499" s="71"/>
      <c r="H499" s="11">
        <f t="shared" si="295"/>
        <v>3</v>
      </c>
      <c r="I499" s="4" t="str">
        <f t="shared" si="292"/>
        <v>00011</v>
      </c>
      <c r="J499" s="1" t="s">
        <v>195</v>
      </c>
      <c r="K499" s="11" t="s">
        <v>199</v>
      </c>
    </row>
    <row r="500" spans="1:11" s="50" customFormat="1" x14ac:dyDescent="0.25">
      <c r="B500" s="69">
        <f t="shared" si="293"/>
        <v>195</v>
      </c>
      <c r="C500" s="103" t="str">
        <f t="shared" si="291"/>
        <v>11000011</v>
      </c>
      <c r="D500" s="25" t="str">
        <f t="shared" si="294"/>
        <v>C3</v>
      </c>
      <c r="F500" s="71">
        <v>1</v>
      </c>
      <c r="G500" s="71"/>
      <c r="H500" s="11">
        <f t="shared" si="295"/>
        <v>4</v>
      </c>
      <c r="I500" s="4" t="str">
        <f t="shared" si="292"/>
        <v>00100</v>
      </c>
      <c r="J500" s="1" t="s">
        <v>196</v>
      </c>
      <c r="K500" s="1"/>
    </row>
    <row r="501" spans="1:11" s="50" customFormat="1" x14ac:dyDescent="0.25">
      <c r="B501" s="69">
        <f t="shared" si="293"/>
        <v>195</v>
      </c>
      <c r="C501" s="103" t="str">
        <f t="shared" si="291"/>
        <v>11000011</v>
      </c>
      <c r="D501" s="25" t="str">
        <f t="shared" si="294"/>
        <v>C3</v>
      </c>
      <c r="F501" s="71">
        <v>1</v>
      </c>
      <c r="G501" s="71"/>
      <c r="H501" s="11">
        <f t="shared" si="295"/>
        <v>5</v>
      </c>
      <c r="I501" s="4" t="str">
        <f t="shared" si="292"/>
        <v>00101</v>
      </c>
      <c r="J501" s="11" t="s">
        <v>15</v>
      </c>
      <c r="K501" s="11" t="s">
        <v>21</v>
      </c>
    </row>
    <row r="502" spans="1:11" s="50" customFormat="1" x14ac:dyDescent="0.25">
      <c r="B502" s="69">
        <f t="shared" si="293"/>
        <v>195</v>
      </c>
      <c r="C502" s="103" t="str">
        <f t="shared" si="291"/>
        <v>11000011</v>
      </c>
      <c r="D502" s="25" t="str">
        <f t="shared" si="294"/>
        <v>C3</v>
      </c>
      <c r="F502" s="71">
        <v>1</v>
      </c>
      <c r="G502" s="71"/>
      <c r="H502" s="11">
        <f t="shared" si="295"/>
        <v>6</v>
      </c>
      <c r="I502" s="4" t="str">
        <f t="shared" si="292"/>
        <v>00110</v>
      </c>
      <c r="J502" s="1" t="s">
        <v>195</v>
      </c>
      <c r="K502" s="11" t="s">
        <v>200</v>
      </c>
    </row>
    <row r="503" spans="1:11" s="50" customFormat="1" x14ac:dyDescent="0.25">
      <c r="B503" s="69">
        <f t="shared" si="293"/>
        <v>195</v>
      </c>
      <c r="C503" s="103" t="str">
        <f t="shared" si="291"/>
        <v>11000011</v>
      </c>
      <c r="D503" s="25" t="str">
        <f t="shared" si="294"/>
        <v>C3</v>
      </c>
      <c r="F503" s="71">
        <v>1</v>
      </c>
      <c r="G503" s="71"/>
      <c r="H503" s="11">
        <f t="shared" si="295"/>
        <v>7</v>
      </c>
      <c r="I503" s="4" t="str">
        <f t="shared" si="292"/>
        <v>00111</v>
      </c>
      <c r="J503" s="1" t="s">
        <v>202</v>
      </c>
      <c r="K503" s="11"/>
    </row>
    <row r="504" spans="1:11" s="50" customFormat="1" x14ac:dyDescent="0.25">
      <c r="B504" s="69">
        <f t="shared" si="293"/>
        <v>195</v>
      </c>
      <c r="C504" s="103" t="str">
        <f t="shared" si="291"/>
        <v>11000011</v>
      </c>
      <c r="D504" s="25" t="str">
        <f t="shared" si="294"/>
        <v>C3</v>
      </c>
      <c r="F504" s="71">
        <v>1</v>
      </c>
      <c r="G504" s="71"/>
      <c r="H504" s="11">
        <f t="shared" si="295"/>
        <v>8</v>
      </c>
      <c r="I504" s="4" t="str">
        <f t="shared" si="292"/>
        <v>01000</v>
      </c>
      <c r="J504" s="1" t="s">
        <v>201</v>
      </c>
      <c r="K504" s="1" t="s">
        <v>205</v>
      </c>
    </row>
    <row r="505" spans="1:11" s="50" customFormat="1" x14ac:dyDescent="0.25">
      <c r="B505" s="69">
        <f t="shared" si="293"/>
        <v>195</v>
      </c>
      <c r="C505" s="103" t="str">
        <f t="shared" si="291"/>
        <v>11000011</v>
      </c>
      <c r="D505" s="25" t="str">
        <f t="shared" si="294"/>
        <v>C3</v>
      </c>
      <c r="F505" s="71">
        <v>1</v>
      </c>
      <c r="G505" s="71"/>
      <c r="H505" s="11">
        <f t="shared" si="295"/>
        <v>9</v>
      </c>
      <c r="I505" s="4" t="str">
        <f t="shared" si="292"/>
        <v>01001</v>
      </c>
      <c r="J505" s="1" t="s">
        <v>237</v>
      </c>
      <c r="K505" s="1" t="s">
        <v>240</v>
      </c>
    </row>
    <row r="506" spans="1:11" s="50" customFormat="1" x14ac:dyDescent="0.25">
      <c r="B506" s="69"/>
      <c r="C506" s="76"/>
      <c r="D506" s="72"/>
      <c r="F506" s="71"/>
      <c r="G506" s="71"/>
    </row>
    <row r="507" spans="1:11" s="24" customFormat="1" x14ac:dyDescent="0.25">
      <c r="A507" s="24" t="s">
        <v>247</v>
      </c>
      <c r="B507" s="104">
        <v>195</v>
      </c>
      <c r="C507" s="103" t="str">
        <f t="shared" ref="C507:C511" si="296">TEXT(DEC2BIN(B507), "00000000")</f>
        <v>11000011</v>
      </c>
      <c r="D507" s="25" t="str">
        <f t="shared" ref="D507:D511" si="297">DEC2HEX(B507)</f>
        <v>C3</v>
      </c>
      <c r="E507" s="105" t="s">
        <v>251</v>
      </c>
      <c r="F507" s="106">
        <v>0</v>
      </c>
      <c r="G507" s="106"/>
      <c r="H507" s="105">
        <v>0</v>
      </c>
      <c r="I507" s="103" t="str">
        <f>TEXT(DEC2BIN(H507), "00000")</f>
        <v>00000</v>
      </c>
      <c r="J507" s="105" t="s">
        <v>14</v>
      </c>
      <c r="K507" s="105" t="s">
        <v>18</v>
      </c>
    </row>
    <row r="508" spans="1:11" x14ac:dyDescent="0.25">
      <c r="B508" s="69">
        <f t="shared" ref="B508:B511" si="298">B507</f>
        <v>195</v>
      </c>
      <c r="C508" s="4" t="str">
        <f t="shared" si="296"/>
        <v>11000011</v>
      </c>
      <c r="D508" s="2" t="str">
        <f t="shared" si="297"/>
        <v>C3</v>
      </c>
      <c r="E508" s="1"/>
      <c r="F508" s="12">
        <v>0</v>
      </c>
      <c r="G508" s="12"/>
      <c r="H508" s="1">
        <f>H507+1</f>
        <v>1</v>
      </c>
      <c r="I508" s="4" t="str">
        <f>TEXT(DEC2BIN(H508), "00000")</f>
        <v>00001</v>
      </c>
      <c r="J508" s="1" t="s">
        <v>13</v>
      </c>
      <c r="K508" s="1"/>
    </row>
    <row r="509" spans="1:11" x14ac:dyDescent="0.25">
      <c r="B509" s="69">
        <f t="shared" si="298"/>
        <v>195</v>
      </c>
      <c r="C509" s="4" t="str">
        <f t="shared" si="296"/>
        <v>11000011</v>
      </c>
      <c r="D509" s="2" t="str">
        <f t="shared" si="297"/>
        <v>C3</v>
      </c>
      <c r="E509" s="1"/>
      <c r="F509" s="12">
        <v>0</v>
      </c>
      <c r="G509" s="12"/>
      <c r="H509" s="1">
        <f>H508+1</f>
        <v>2</v>
      </c>
      <c r="I509" s="4" t="str">
        <f>TEXT(DEC2BIN(H509), "00000")</f>
        <v>00010</v>
      </c>
      <c r="J509" s="1" t="s">
        <v>15</v>
      </c>
      <c r="K509" s="1" t="s">
        <v>242</v>
      </c>
    </row>
    <row r="510" spans="1:11" x14ac:dyDescent="0.25">
      <c r="B510" s="69">
        <f t="shared" si="298"/>
        <v>195</v>
      </c>
      <c r="C510" s="4" t="str">
        <f t="shared" si="296"/>
        <v>11000011</v>
      </c>
      <c r="D510" s="2" t="str">
        <f t="shared" si="297"/>
        <v>C3</v>
      </c>
      <c r="E510" s="1"/>
      <c r="F510" s="12">
        <v>0</v>
      </c>
      <c r="G510" s="12"/>
      <c r="H510" s="1">
        <f>H509+1</f>
        <v>3</v>
      </c>
      <c r="I510" s="4" t="str">
        <f>TEXT(DEC2BIN(H510), "00000")</f>
        <v>00011</v>
      </c>
      <c r="J510" s="1"/>
      <c r="K510" s="1"/>
    </row>
    <row r="511" spans="1:11" x14ac:dyDescent="0.25">
      <c r="B511" s="69">
        <f t="shared" si="298"/>
        <v>195</v>
      </c>
      <c r="C511" s="4" t="str">
        <f t="shared" si="296"/>
        <v>11000011</v>
      </c>
      <c r="D511" s="2" t="str">
        <f t="shared" si="297"/>
        <v>C3</v>
      </c>
      <c r="E511" s="1"/>
      <c r="F511" s="12">
        <v>0</v>
      </c>
      <c r="G511" s="12"/>
      <c r="H511" s="1">
        <f>H510+1</f>
        <v>4</v>
      </c>
      <c r="I511" s="4" t="str">
        <f>TEXT(DEC2BIN(H511), "00000")</f>
        <v>00100</v>
      </c>
      <c r="J511" s="1" t="s">
        <v>236</v>
      </c>
      <c r="K511" s="1" t="s">
        <v>241</v>
      </c>
    </row>
    <row r="512" spans="1:11" s="50" customFormat="1" x14ac:dyDescent="0.25">
      <c r="B512" s="69"/>
      <c r="C512" s="76"/>
      <c r="D512" s="72"/>
      <c r="F512" s="71"/>
      <c r="G512" s="71"/>
    </row>
    <row r="513" spans="2:7" s="50" customFormat="1" x14ac:dyDescent="0.25">
      <c r="B513" s="69"/>
      <c r="C513" s="76"/>
      <c r="D513" s="72"/>
      <c r="F513" s="71"/>
      <c r="G513" s="71"/>
    </row>
    <row r="514" spans="2:7" s="50" customFormat="1" x14ac:dyDescent="0.25">
      <c r="B514" s="69"/>
      <c r="C514" s="76"/>
      <c r="D514" s="72"/>
      <c r="F514" s="71"/>
      <c r="G514" s="71"/>
    </row>
    <row r="515" spans="2:7" s="50" customFormat="1" x14ac:dyDescent="0.25">
      <c r="B515" s="69"/>
      <c r="C515" s="76"/>
      <c r="D515" s="72"/>
      <c r="F515" s="71"/>
      <c r="G515" s="71"/>
    </row>
    <row r="516" spans="2:7" s="50" customFormat="1" x14ac:dyDescent="0.25">
      <c r="B516" s="69"/>
      <c r="C516" s="76"/>
      <c r="D516" s="72"/>
      <c r="F516" s="71"/>
      <c r="G516" s="71"/>
    </row>
    <row r="517" spans="2:7" s="50" customFormat="1" x14ac:dyDescent="0.25">
      <c r="B517" s="69"/>
      <c r="C517" s="76"/>
      <c r="D517" s="72"/>
      <c r="F517" s="71"/>
      <c r="G517" s="71"/>
    </row>
    <row r="518" spans="2:7" s="50" customFormat="1" x14ac:dyDescent="0.25">
      <c r="B518" s="69"/>
      <c r="C518" s="76"/>
      <c r="D518" s="72"/>
      <c r="F518" s="71"/>
      <c r="G518" s="71"/>
    </row>
    <row r="519" spans="2:7" s="50" customFormat="1" x14ac:dyDescent="0.25">
      <c r="B519" s="69"/>
      <c r="C519" s="76"/>
      <c r="D519" s="72"/>
      <c r="F519" s="71"/>
      <c r="G519" s="71"/>
    </row>
    <row r="520" spans="2:7" s="50" customFormat="1" x14ac:dyDescent="0.25">
      <c r="B520" s="69"/>
      <c r="C520" s="76"/>
      <c r="D520" s="72"/>
      <c r="F520" s="71"/>
      <c r="G520" s="71"/>
    </row>
    <row r="521" spans="2:7" s="50" customFormat="1" x14ac:dyDescent="0.25">
      <c r="B521" s="69"/>
      <c r="C521" s="76"/>
      <c r="D521" s="72"/>
      <c r="F521" s="71"/>
      <c r="G521" s="71"/>
    </row>
    <row r="522" spans="2:7" s="50" customFormat="1" x14ac:dyDescent="0.25">
      <c r="B522" s="69"/>
      <c r="C522" s="76"/>
      <c r="D522" s="72"/>
      <c r="F522" s="71"/>
      <c r="G522" s="71"/>
    </row>
    <row r="523" spans="2:7" s="50" customFormat="1" x14ac:dyDescent="0.25">
      <c r="B523" s="69"/>
      <c r="C523" s="76"/>
      <c r="D523" s="72"/>
      <c r="F523" s="71"/>
      <c r="G523" s="71"/>
    </row>
    <row r="524" spans="2:7" s="50" customFormat="1" x14ac:dyDescent="0.25">
      <c r="B524" s="69"/>
      <c r="C524" s="76"/>
      <c r="D524" s="72"/>
      <c r="F524" s="71"/>
      <c r="G524" s="71"/>
    </row>
    <row r="525" spans="2:7" s="50" customFormat="1" x14ac:dyDescent="0.25">
      <c r="B525" s="69"/>
      <c r="C525" s="76"/>
      <c r="D525" s="72"/>
      <c r="F525" s="71"/>
      <c r="G525" s="71"/>
    </row>
    <row r="526" spans="2:7" s="50" customFormat="1" x14ac:dyDescent="0.25">
      <c r="B526" s="69"/>
      <c r="C526" s="76"/>
      <c r="D526" s="72"/>
      <c r="F526" s="71"/>
      <c r="G526" s="71"/>
    </row>
    <row r="527" spans="2:7" s="50" customFormat="1" x14ac:dyDescent="0.25">
      <c r="B527" s="69"/>
      <c r="C527" s="76"/>
      <c r="D527" s="72"/>
      <c r="F527" s="71"/>
      <c r="G527" s="71"/>
    </row>
    <row r="528" spans="2:7" s="50" customFormat="1" x14ac:dyDescent="0.25">
      <c r="B528" s="69"/>
      <c r="C528" s="76"/>
      <c r="D528" s="72"/>
      <c r="F528" s="71"/>
      <c r="G528" s="71"/>
    </row>
    <row r="529" spans="2:7" s="50" customFormat="1" x14ac:dyDescent="0.25">
      <c r="B529" s="69"/>
      <c r="C529" s="76"/>
      <c r="D529" s="72"/>
      <c r="F529" s="71"/>
      <c r="G529" s="71"/>
    </row>
    <row r="530" spans="2:7" s="50" customFormat="1" x14ac:dyDescent="0.25">
      <c r="B530" s="69"/>
      <c r="C530" s="76"/>
      <c r="D530" s="72"/>
      <c r="F530" s="71"/>
      <c r="G530" s="71"/>
    </row>
    <row r="531" spans="2:7" s="50" customFormat="1" x14ac:dyDescent="0.25">
      <c r="B531" s="69"/>
      <c r="C531" s="76"/>
      <c r="D531" s="72"/>
      <c r="F531" s="71"/>
      <c r="G531" s="71"/>
    </row>
    <row r="532" spans="2:7" s="50" customFormat="1" x14ac:dyDescent="0.25">
      <c r="B532" s="69"/>
      <c r="C532" s="76"/>
      <c r="D532" s="72"/>
      <c r="F532" s="71"/>
      <c r="G532" s="71"/>
    </row>
    <row r="533" spans="2:7" s="50" customFormat="1" x14ac:dyDescent="0.25">
      <c r="B533" s="69"/>
      <c r="C533" s="76"/>
      <c r="D533" s="72"/>
      <c r="F533" s="71"/>
      <c r="G533" s="71"/>
    </row>
    <row r="534" spans="2:7" s="50" customFormat="1" x14ac:dyDescent="0.25">
      <c r="B534" s="69"/>
      <c r="C534" s="76"/>
      <c r="D534" s="72"/>
      <c r="F534" s="71"/>
      <c r="G534" s="71"/>
    </row>
    <row r="535" spans="2:7" s="50" customFormat="1" x14ac:dyDescent="0.25">
      <c r="B535" s="69"/>
      <c r="C535" s="76"/>
      <c r="D535" s="72"/>
      <c r="F535" s="71"/>
      <c r="G535" s="71"/>
    </row>
    <row r="536" spans="2:7" s="50" customFormat="1" x14ac:dyDescent="0.25">
      <c r="B536" s="69"/>
      <c r="C536" s="76"/>
      <c r="D536" s="72"/>
      <c r="F536" s="71"/>
      <c r="G536" s="71"/>
    </row>
    <row r="537" spans="2:7" s="50" customFormat="1" x14ac:dyDescent="0.25">
      <c r="B537" s="69"/>
      <c r="C537" s="76"/>
      <c r="D537" s="72"/>
      <c r="F537" s="71"/>
      <c r="G537" s="71"/>
    </row>
    <row r="538" spans="2:7" s="50" customFormat="1" x14ac:dyDescent="0.25">
      <c r="B538" s="69"/>
      <c r="C538" s="76"/>
      <c r="D538" s="72"/>
      <c r="F538" s="71"/>
      <c r="G538" s="71"/>
    </row>
    <row r="539" spans="2:7" s="50" customFormat="1" x14ac:dyDescent="0.25">
      <c r="B539" s="69"/>
      <c r="C539" s="76"/>
      <c r="D539" s="72"/>
      <c r="F539" s="71"/>
      <c r="G539" s="71"/>
    </row>
    <row r="540" spans="2:7" s="50" customFormat="1" x14ac:dyDescent="0.25">
      <c r="B540" s="69"/>
      <c r="C540" s="76"/>
      <c r="D540" s="72"/>
      <c r="F540" s="71"/>
      <c r="G540" s="71"/>
    </row>
    <row r="541" spans="2:7" s="50" customFormat="1" x14ac:dyDescent="0.25">
      <c r="B541" s="69"/>
      <c r="C541" s="76"/>
      <c r="D541" s="72"/>
      <c r="F541" s="71"/>
      <c r="G541" s="71"/>
    </row>
    <row r="542" spans="2:7" s="50" customFormat="1" x14ac:dyDescent="0.25">
      <c r="B542" s="69"/>
      <c r="C542" s="76"/>
      <c r="D542" s="72"/>
      <c r="F542" s="71"/>
      <c r="G542" s="71"/>
    </row>
    <row r="543" spans="2:7" s="50" customFormat="1" x14ac:dyDescent="0.25">
      <c r="B543" s="69"/>
      <c r="C543" s="76"/>
      <c r="D543" s="72"/>
      <c r="F543" s="71"/>
      <c r="G543" s="71"/>
    </row>
    <row r="544" spans="2:7" s="50" customFormat="1" x14ac:dyDescent="0.25">
      <c r="B544" s="69"/>
      <c r="C544" s="76"/>
      <c r="D544" s="72"/>
      <c r="F544" s="71"/>
      <c r="G544" s="71"/>
    </row>
    <row r="545" spans="2:7" s="50" customFormat="1" x14ac:dyDescent="0.25">
      <c r="B545" s="69"/>
      <c r="C545" s="76"/>
      <c r="D545" s="72"/>
      <c r="F545" s="71"/>
      <c r="G545" s="71"/>
    </row>
    <row r="546" spans="2:7" s="50" customFormat="1" x14ac:dyDescent="0.25">
      <c r="B546" s="69"/>
      <c r="C546" s="76"/>
      <c r="D546" s="72"/>
      <c r="F546" s="71"/>
      <c r="G546" s="71"/>
    </row>
    <row r="547" spans="2:7" s="50" customFormat="1" x14ac:dyDescent="0.25">
      <c r="B547" s="69"/>
      <c r="C547" s="76"/>
      <c r="D547" s="72"/>
      <c r="F547" s="71"/>
      <c r="G547" s="71"/>
    </row>
    <row r="548" spans="2:7" s="50" customFormat="1" x14ac:dyDescent="0.25">
      <c r="B548" s="69"/>
      <c r="C548" s="76"/>
      <c r="D548" s="72"/>
      <c r="F548" s="71"/>
      <c r="G548" s="71"/>
    </row>
    <row r="549" spans="2:7" s="50" customFormat="1" x14ac:dyDescent="0.25">
      <c r="B549" s="69"/>
      <c r="C549" s="76"/>
      <c r="D549" s="72"/>
      <c r="F549" s="71"/>
      <c r="G549" s="71"/>
    </row>
    <row r="550" spans="2:7" s="50" customFormat="1" x14ac:dyDescent="0.25">
      <c r="B550" s="69"/>
      <c r="C550" s="76"/>
      <c r="D550" s="72"/>
      <c r="F550" s="71"/>
      <c r="G550" s="71"/>
    </row>
    <row r="551" spans="2:7" s="50" customFormat="1" x14ac:dyDescent="0.25">
      <c r="B551" s="69"/>
      <c r="C551" s="76"/>
      <c r="D551" s="72"/>
      <c r="F551" s="71"/>
      <c r="G551" s="71"/>
    </row>
    <row r="552" spans="2:7" s="50" customFormat="1" x14ac:dyDescent="0.25">
      <c r="B552" s="69"/>
      <c r="C552" s="76"/>
      <c r="D552" s="72"/>
      <c r="F552" s="71"/>
      <c r="G552" s="71"/>
    </row>
    <row r="553" spans="2:7" s="50" customFormat="1" x14ac:dyDescent="0.25">
      <c r="B553" s="69"/>
      <c r="C553" s="76"/>
      <c r="D553" s="72"/>
      <c r="F553" s="71"/>
      <c r="G553" s="71"/>
    </row>
    <row r="554" spans="2:7" s="50" customFormat="1" x14ac:dyDescent="0.25">
      <c r="B554" s="69"/>
      <c r="C554" s="76"/>
      <c r="D554" s="72"/>
      <c r="F554" s="71"/>
      <c r="G554" s="71"/>
    </row>
    <row r="555" spans="2:7" s="50" customFormat="1" x14ac:dyDescent="0.25">
      <c r="B555" s="69"/>
      <c r="C555" s="76"/>
      <c r="D555" s="72"/>
      <c r="F555" s="71"/>
      <c r="G555" s="71"/>
    </row>
    <row r="556" spans="2:7" s="50" customFormat="1" x14ac:dyDescent="0.25">
      <c r="B556" s="69"/>
      <c r="C556" s="76"/>
      <c r="D556" s="72"/>
      <c r="F556" s="71"/>
      <c r="G556" s="71"/>
    </row>
    <row r="557" spans="2:7" s="50" customFormat="1" x14ac:dyDescent="0.25">
      <c r="B557" s="69"/>
      <c r="C557" s="76"/>
      <c r="D557" s="72"/>
      <c r="F557" s="71"/>
      <c r="G557" s="71"/>
    </row>
    <row r="558" spans="2:7" s="50" customFormat="1" x14ac:dyDescent="0.25">
      <c r="B558" s="69"/>
      <c r="C558" s="76"/>
      <c r="D558" s="72"/>
      <c r="F558" s="71"/>
      <c r="G558" s="71"/>
    </row>
    <row r="559" spans="2:7" s="50" customFormat="1" x14ac:dyDescent="0.25">
      <c r="B559" s="69"/>
      <c r="C559" s="76"/>
      <c r="D559" s="72"/>
      <c r="F559" s="71"/>
      <c r="G559" s="71"/>
    </row>
    <row r="560" spans="2:7" s="50" customFormat="1" x14ac:dyDescent="0.25">
      <c r="B560" s="69"/>
      <c r="C560" s="76"/>
      <c r="D560" s="72"/>
      <c r="F560" s="71"/>
      <c r="G560" s="71"/>
    </row>
    <row r="561" spans="2:7" s="50" customFormat="1" x14ac:dyDescent="0.25">
      <c r="B561" s="69"/>
      <c r="C561" s="76"/>
      <c r="D561" s="72"/>
      <c r="F561" s="71"/>
      <c r="G561" s="71"/>
    </row>
    <row r="562" spans="2:7" s="50" customFormat="1" x14ac:dyDescent="0.25">
      <c r="B562" s="69"/>
      <c r="C562" s="76"/>
      <c r="D562" s="72"/>
      <c r="F562" s="71"/>
      <c r="G562" s="71"/>
    </row>
    <row r="563" spans="2:7" s="50" customFormat="1" x14ac:dyDescent="0.25">
      <c r="B563" s="69"/>
      <c r="C563" s="76"/>
      <c r="D563" s="72"/>
      <c r="F563" s="71"/>
      <c r="G563" s="71"/>
    </row>
    <row r="564" spans="2:7" s="50" customFormat="1" x14ac:dyDescent="0.25">
      <c r="B564" s="69"/>
      <c r="C564" s="76"/>
      <c r="D564" s="72"/>
      <c r="F564" s="71"/>
      <c r="G564" s="71"/>
    </row>
    <row r="565" spans="2:7" s="50" customFormat="1" x14ac:dyDescent="0.25">
      <c r="B565" s="69"/>
      <c r="C565" s="76"/>
      <c r="D565" s="72"/>
      <c r="F565" s="71"/>
      <c r="G565" s="71"/>
    </row>
    <row r="566" spans="2:7" s="50" customFormat="1" x14ac:dyDescent="0.25">
      <c r="B566" s="69"/>
      <c r="C566" s="76"/>
      <c r="D566" s="72"/>
      <c r="F566" s="71"/>
      <c r="G566" s="71"/>
    </row>
    <row r="567" spans="2:7" s="50" customFormat="1" x14ac:dyDescent="0.25">
      <c r="B567" s="69"/>
      <c r="C567" s="76"/>
      <c r="D567" s="72"/>
      <c r="F567" s="71"/>
      <c r="G567" s="71"/>
    </row>
    <row r="568" spans="2:7" s="50" customFormat="1" x14ac:dyDescent="0.25">
      <c r="B568" s="69"/>
      <c r="C568" s="76"/>
      <c r="D568" s="72"/>
      <c r="F568" s="71"/>
      <c r="G568" s="71"/>
    </row>
    <row r="569" spans="2:7" s="50" customFormat="1" x14ac:dyDescent="0.25">
      <c r="B569" s="69"/>
      <c r="C569" s="76"/>
      <c r="D569" s="72"/>
      <c r="F569" s="71"/>
      <c r="G569" s="71"/>
    </row>
    <row r="570" spans="2:7" s="50" customFormat="1" x14ac:dyDescent="0.25">
      <c r="B570" s="69"/>
      <c r="C570" s="76"/>
      <c r="D570" s="72"/>
      <c r="F570" s="71"/>
      <c r="G570" s="71"/>
    </row>
    <row r="571" spans="2:7" s="50" customFormat="1" x14ac:dyDescent="0.25">
      <c r="B571" s="69"/>
      <c r="C571" s="76"/>
      <c r="D571" s="72"/>
      <c r="F571" s="71"/>
      <c r="G571" s="71"/>
    </row>
    <row r="572" spans="2:7" s="50" customFormat="1" x14ac:dyDescent="0.25">
      <c r="B572" s="69"/>
      <c r="C572" s="76"/>
      <c r="D572" s="72"/>
      <c r="F572" s="71"/>
      <c r="G572" s="71"/>
    </row>
    <row r="573" spans="2:7" s="50" customFormat="1" x14ac:dyDescent="0.25">
      <c r="B573" s="69"/>
      <c r="C573" s="76"/>
      <c r="D573" s="72"/>
      <c r="F573" s="71"/>
      <c r="G573" s="71"/>
    </row>
    <row r="574" spans="2:7" s="50" customFormat="1" x14ac:dyDescent="0.25">
      <c r="B574" s="69"/>
      <c r="C574" s="76"/>
      <c r="D574" s="72"/>
      <c r="F574" s="71"/>
      <c r="G574" s="71"/>
    </row>
    <row r="575" spans="2:7" s="50" customFormat="1" x14ac:dyDescent="0.25">
      <c r="B575" s="69"/>
      <c r="C575" s="76"/>
      <c r="D575" s="72"/>
      <c r="F575" s="71"/>
      <c r="G575" s="71"/>
    </row>
    <row r="576" spans="2:7" s="50" customFormat="1" x14ac:dyDescent="0.25">
      <c r="B576" s="69"/>
      <c r="C576" s="76"/>
      <c r="D576" s="72"/>
      <c r="F576" s="71"/>
      <c r="G576" s="71"/>
    </row>
    <row r="577" spans="2:7" s="50" customFormat="1" x14ac:dyDescent="0.25">
      <c r="B577" s="69"/>
      <c r="C577" s="76"/>
      <c r="D577" s="72"/>
      <c r="F577" s="71"/>
      <c r="G577" s="71"/>
    </row>
    <row r="578" spans="2:7" x14ac:dyDescent="0.25">
      <c r="B578" s="37"/>
      <c r="C578" s="4"/>
    </row>
    <row r="579" spans="2:7" x14ac:dyDescent="0.25">
      <c r="B579" s="37"/>
      <c r="C579" s="4"/>
    </row>
    <row r="580" spans="2:7" x14ac:dyDescent="0.25">
      <c r="B580" s="37"/>
      <c r="C580" s="4"/>
    </row>
    <row r="581" spans="2:7" x14ac:dyDescent="0.25">
      <c r="B581" s="37"/>
      <c r="C581" s="4"/>
    </row>
    <row r="582" spans="2:7" x14ac:dyDescent="0.25">
      <c r="B582" s="37"/>
      <c r="C582" s="4"/>
    </row>
    <row r="583" spans="2:7" x14ac:dyDescent="0.25">
      <c r="B583" s="37"/>
      <c r="C583" s="4"/>
    </row>
    <row r="584" spans="2:7" x14ac:dyDescent="0.25">
      <c r="B584" s="37"/>
      <c r="C584" s="4"/>
    </row>
    <row r="585" spans="2:7" x14ac:dyDescent="0.25">
      <c r="B585" s="37"/>
      <c r="C585" s="4"/>
    </row>
    <row r="586" spans="2:7" x14ac:dyDescent="0.25">
      <c r="B586" s="37"/>
      <c r="C586" s="4"/>
    </row>
    <row r="587" spans="2:7" x14ac:dyDescent="0.25">
      <c r="B587" s="37"/>
      <c r="C587" s="4"/>
    </row>
    <row r="588" spans="2:7" x14ac:dyDescent="0.25">
      <c r="B588" s="37"/>
      <c r="C588" s="4"/>
    </row>
    <row r="589" spans="2:7" x14ac:dyDescent="0.25">
      <c r="B589" s="37"/>
      <c r="C589" s="4"/>
    </row>
    <row r="590" spans="2:7" x14ac:dyDescent="0.25">
      <c r="B590" s="37"/>
      <c r="C590" s="4"/>
    </row>
    <row r="591" spans="2:7" x14ac:dyDescent="0.25">
      <c r="B591" s="37"/>
      <c r="C591" s="4"/>
    </row>
    <row r="592" spans="2:7" x14ac:dyDescent="0.25">
      <c r="B592" s="37"/>
      <c r="C592" s="4"/>
    </row>
    <row r="593" spans="2:3" x14ac:dyDescent="0.25">
      <c r="B593" s="37"/>
      <c r="C593" s="4"/>
    </row>
    <row r="594" spans="2:3" x14ac:dyDescent="0.25">
      <c r="B594" s="37"/>
      <c r="C594" s="4"/>
    </row>
    <row r="595" spans="2:3" x14ac:dyDescent="0.25">
      <c r="B595" s="37"/>
      <c r="C595" s="4"/>
    </row>
    <row r="596" spans="2:3" x14ac:dyDescent="0.25">
      <c r="B596" s="37"/>
      <c r="C596" s="4"/>
    </row>
    <row r="597" spans="2:3" x14ac:dyDescent="0.25">
      <c r="B597" s="37"/>
      <c r="C597" s="4"/>
    </row>
    <row r="598" spans="2:3" x14ac:dyDescent="0.25">
      <c r="B598" s="37"/>
      <c r="C598" s="4"/>
    </row>
    <row r="599" spans="2:3" x14ac:dyDescent="0.25">
      <c r="B599" s="37"/>
      <c r="C599" s="4"/>
    </row>
    <row r="600" spans="2:3" x14ac:dyDescent="0.25">
      <c r="B600" s="37"/>
      <c r="C600" s="4"/>
    </row>
    <row r="601" spans="2:3" x14ac:dyDescent="0.25">
      <c r="B601" s="37"/>
      <c r="C601" s="4"/>
    </row>
    <row r="602" spans="2:3" x14ac:dyDescent="0.25">
      <c r="B602" s="37"/>
      <c r="C602" s="4"/>
    </row>
    <row r="603" spans="2:3" x14ac:dyDescent="0.25">
      <c r="B603" s="37"/>
      <c r="C603" s="4"/>
    </row>
    <row r="604" spans="2:3" x14ac:dyDescent="0.25">
      <c r="B604" s="37"/>
      <c r="C604" s="4"/>
    </row>
    <row r="605" spans="2:3" x14ac:dyDescent="0.25">
      <c r="B605" s="37"/>
      <c r="C605" s="4"/>
    </row>
    <row r="606" spans="2:3" x14ac:dyDescent="0.25">
      <c r="B606" s="37"/>
      <c r="C606" s="4"/>
    </row>
    <row r="607" spans="2:3" x14ac:dyDescent="0.25">
      <c r="B607" s="37"/>
      <c r="C607" s="4"/>
    </row>
    <row r="608" spans="2:3" x14ac:dyDescent="0.25">
      <c r="B608" s="37"/>
      <c r="C608" s="4"/>
    </row>
    <row r="609" spans="2:11" x14ac:dyDescent="0.25">
      <c r="B609" s="37"/>
      <c r="C609" s="4"/>
    </row>
    <row r="610" spans="2:11" x14ac:dyDescent="0.25">
      <c r="B610" s="37"/>
      <c r="C610" s="4"/>
    </row>
    <row r="611" spans="2:11" x14ac:dyDescent="0.25">
      <c r="B611" s="37"/>
      <c r="C611" s="4"/>
    </row>
    <row r="612" spans="2:11" x14ac:dyDescent="0.25">
      <c r="B612" s="37"/>
      <c r="C612" s="4"/>
    </row>
    <row r="613" spans="2:11" x14ac:dyDescent="0.25">
      <c r="B613" s="37"/>
      <c r="C613" s="4"/>
    </row>
    <row r="614" spans="2:11" x14ac:dyDescent="0.25">
      <c r="B614" s="37"/>
      <c r="C614" s="4"/>
    </row>
    <row r="615" spans="2:11" x14ac:dyDescent="0.25">
      <c r="B615" s="37"/>
      <c r="C615" s="4"/>
    </row>
    <row r="616" spans="2:11" x14ac:dyDescent="0.25">
      <c r="B616" s="37"/>
      <c r="C616" s="4"/>
    </row>
    <row r="617" spans="2:11" x14ac:dyDescent="0.25">
      <c r="B617" s="37"/>
      <c r="C617" s="4"/>
    </row>
    <row r="618" spans="2:11" x14ac:dyDescent="0.25">
      <c r="B618" s="37"/>
      <c r="C618" s="4"/>
    </row>
    <row r="619" spans="2:11" x14ac:dyDescent="0.25">
      <c r="B619" s="37"/>
      <c r="C619" s="4"/>
    </row>
    <row r="620" spans="2:11" x14ac:dyDescent="0.25">
      <c r="B620" s="37"/>
      <c r="C620" s="4"/>
    </row>
    <row r="621" spans="2:11" x14ac:dyDescent="0.25">
      <c r="B621" s="37"/>
      <c r="C621" s="4"/>
    </row>
    <row r="622" spans="2:11" x14ac:dyDescent="0.25">
      <c r="B622" s="37"/>
      <c r="C622" s="4"/>
    </row>
    <row r="623" spans="2:11" x14ac:dyDescent="0.25">
      <c r="B623" s="37"/>
      <c r="C623" s="4"/>
    </row>
    <row r="624" spans="2:11" s="24" customFormat="1" x14ac:dyDescent="0.25">
      <c r="B624" s="39"/>
      <c r="C624" s="22"/>
      <c r="D624" s="35"/>
      <c r="E624" s="22"/>
      <c r="F624" s="23"/>
      <c r="G624" s="23"/>
      <c r="H624" s="22"/>
      <c r="I624" s="22"/>
      <c r="J624" s="22"/>
      <c r="K624" s="22"/>
    </row>
    <row r="625" spans="2:11" s="24" customFormat="1" x14ac:dyDescent="0.25">
      <c r="B625" s="40"/>
      <c r="C625" s="18"/>
      <c r="D625" s="36"/>
      <c r="E625" s="18"/>
      <c r="F625" s="19"/>
      <c r="G625" s="19"/>
      <c r="H625" s="18"/>
      <c r="I625" s="18"/>
      <c r="J625" s="18"/>
      <c r="K625" s="18"/>
    </row>
    <row r="626" spans="2:11" x14ac:dyDescent="0.25">
      <c r="B626" s="41"/>
      <c r="D626" s="7"/>
    </row>
    <row r="627" spans="2:11" x14ac:dyDescent="0.25">
      <c r="B627" s="41"/>
      <c r="D627" s="7"/>
    </row>
    <row r="628" spans="2:11" x14ac:dyDescent="0.25">
      <c r="B628" s="41"/>
      <c r="D628" s="7"/>
    </row>
    <row r="629" spans="2:11" x14ac:dyDescent="0.25">
      <c r="B629" s="41"/>
      <c r="D629" s="7"/>
    </row>
    <row r="630" spans="2:11" x14ac:dyDescent="0.25">
      <c r="B630" s="41"/>
      <c r="D630" s="7"/>
    </row>
    <row r="631" spans="2:11" x14ac:dyDescent="0.25">
      <c r="B631" s="41"/>
      <c r="D631" s="7"/>
    </row>
    <row r="632" spans="2:11" x14ac:dyDescent="0.25">
      <c r="B632" s="41"/>
      <c r="D632" s="7"/>
    </row>
    <row r="633" spans="2:11" x14ac:dyDescent="0.25">
      <c r="B633" s="41"/>
      <c r="D633" s="7"/>
    </row>
    <row r="634" spans="2:11" x14ac:dyDescent="0.25">
      <c r="B634" s="41"/>
      <c r="D634" s="7"/>
    </row>
    <row r="635" spans="2:11" x14ac:dyDescent="0.25">
      <c r="B635" s="41"/>
      <c r="D635" s="7"/>
    </row>
    <row r="636" spans="2:11" x14ac:dyDescent="0.25">
      <c r="B636" s="41"/>
      <c r="D636" s="7"/>
    </row>
    <row r="637" spans="2:11" x14ac:dyDescent="0.25">
      <c r="B637" s="41"/>
      <c r="D637" s="7"/>
    </row>
    <row r="638" spans="2:11" x14ac:dyDescent="0.25">
      <c r="B638" s="41"/>
      <c r="D638" s="7"/>
    </row>
    <row r="639" spans="2:11" x14ac:dyDescent="0.25">
      <c r="B639" s="41"/>
      <c r="D639" s="7"/>
    </row>
    <row r="640" spans="2:11" x14ac:dyDescent="0.25">
      <c r="B640" s="41"/>
      <c r="D640" s="7"/>
    </row>
    <row r="641" spans="2:11" x14ac:dyDescent="0.25">
      <c r="B641" s="41"/>
      <c r="D641" s="7"/>
    </row>
    <row r="642" spans="2:11" x14ac:dyDescent="0.25">
      <c r="B642" s="41"/>
      <c r="D642" s="7"/>
    </row>
    <row r="643" spans="2:11" x14ac:dyDescent="0.25">
      <c r="B643" s="41"/>
      <c r="D643" s="7"/>
    </row>
    <row r="644" spans="2:11" x14ac:dyDescent="0.25">
      <c r="B644" s="41"/>
      <c r="D644" s="7"/>
    </row>
    <row r="645" spans="2:11" x14ac:dyDescent="0.25">
      <c r="B645" s="41"/>
      <c r="D645" s="7"/>
    </row>
    <row r="646" spans="2:11" x14ac:dyDescent="0.25">
      <c r="B646" s="41"/>
      <c r="D646" s="7"/>
    </row>
    <row r="647" spans="2:11" x14ac:dyDescent="0.25">
      <c r="B647" s="41"/>
      <c r="D647" s="7"/>
    </row>
    <row r="648" spans="2:11" x14ac:dyDescent="0.25">
      <c r="B648" s="41"/>
      <c r="D648" s="7"/>
    </row>
    <row r="649" spans="2:11" x14ac:dyDescent="0.25">
      <c r="B649" s="41"/>
      <c r="D649" s="7"/>
    </row>
    <row r="650" spans="2:11" x14ac:dyDescent="0.25">
      <c r="B650" s="41"/>
      <c r="D650" s="7"/>
    </row>
    <row r="651" spans="2:11" x14ac:dyDescent="0.25">
      <c r="B651" s="41"/>
      <c r="D651" s="7"/>
    </row>
    <row r="652" spans="2:11" x14ac:dyDescent="0.25">
      <c r="B652" s="41"/>
      <c r="D652" s="7"/>
    </row>
    <row r="653" spans="2:11" x14ac:dyDescent="0.25">
      <c r="B653" s="41"/>
      <c r="D653" s="7"/>
    </row>
    <row r="654" spans="2:11" x14ac:dyDescent="0.25">
      <c r="B654" s="41"/>
      <c r="D654" s="7"/>
    </row>
    <row r="655" spans="2:11" x14ac:dyDescent="0.25">
      <c r="B655" s="41"/>
      <c r="D655" s="7"/>
    </row>
    <row r="656" spans="2:11" s="24" customFormat="1" x14ac:dyDescent="0.25">
      <c r="B656" s="42"/>
      <c r="C656" s="20"/>
      <c r="D656" s="21"/>
      <c r="E656" s="22"/>
      <c r="F656" s="23"/>
      <c r="G656" s="23"/>
      <c r="H656" s="22"/>
      <c r="I656" s="22"/>
      <c r="J656" s="22"/>
      <c r="K656" s="22"/>
    </row>
    <row r="657" spans="1:11" s="24" customFormat="1" x14ac:dyDescent="0.25">
      <c r="B657" s="43"/>
      <c r="C657" s="16"/>
      <c r="D657" s="17"/>
      <c r="E657" s="18"/>
      <c r="F657" s="19"/>
      <c r="G657" s="19"/>
      <c r="H657" s="18"/>
      <c r="I657" s="18"/>
      <c r="J657" s="18"/>
      <c r="K657" s="18"/>
    </row>
    <row r="658" spans="1:11" s="24" customFormat="1" x14ac:dyDescent="0.25">
      <c r="B658" s="42"/>
      <c r="C658" s="20"/>
      <c r="D658" s="21"/>
      <c r="E658" s="22"/>
      <c r="F658" s="23"/>
      <c r="G658" s="23"/>
      <c r="H658" s="22"/>
      <c r="I658" s="22"/>
      <c r="J658" s="22"/>
      <c r="K658" s="22"/>
    </row>
    <row r="659" spans="1:11" s="24" customFormat="1" x14ac:dyDescent="0.25">
      <c r="B659" s="43"/>
      <c r="C659" s="16"/>
      <c r="D659" s="17"/>
      <c r="E659" s="18"/>
      <c r="F659" s="19"/>
      <c r="G659" s="19"/>
      <c r="H659" s="18"/>
      <c r="I659" s="18"/>
      <c r="J659" s="18"/>
      <c r="K659" s="18"/>
    </row>
    <row r="660" spans="1:11" s="24" customFormat="1" x14ac:dyDescent="0.25">
      <c r="B660" s="42"/>
      <c r="C660" s="20"/>
      <c r="D660" s="21"/>
      <c r="E660" s="22"/>
      <c r="F660" s="23"/>
      <c r="G660" s="23"/>
      <c r="H660" s="22"/>
      <c r="I660" s="22"/>
      <c r="J660" s="22"/>
      <c r="K660" s="22"/>
    </row>
    <row r="661" spans="1:11" s="24" customFormat="1" x14ac:dyDescent="0.25">
      <c r="B661" s="43"/>
      <c r="C661" s="16"/>
      <c r="D661" s="17"/>
      <c r="E661" s="18"/>
      <c r="F661" s="19"/>
      <c r="G661" s="19"/>
      <c r="H661" s="18"/>
      <c r="I661" s="18"/>
      <c r="J661" s="18"/>
      <c r="K661" s="18"/>
    </row>
    <row r="662" spans="1:11" s="24" customFormat="1" x14ac:dyDescent="0.25">
      <c r="B662" s="42"/>
      <c r="C662" s="20"/>
      <c r="D662" s="21"/>
      <c r="E662" s="22"/>
      <c r="F662" s="23"/>
      <c r="G662" s="23"/>
      <c r="H662" s="22"/>
      <c r="I662" s="22"/>
      <c r="J662" s="22"/>
      <c r="K662" s="22"/>
    </row>
    <row r="663" spans="1:11" s="24" customFormat="1" x14ac:dyDescent="0.25">
      <c r="B663" s="43"/>
      <c r="C663" s="16"/>
      <c r="D663" s="17"/>
      <c r="E663" s="18"/>
      <c r="F663" s="19"/>
      <c r="G663" s="19"/>
      <c r="H663" s="18"/>
      <c r="I663" s="18"/>
      <c r="J663" s="18"/>
      <c r="K663" s="18"/>
    </row>
    <row r="664" spans="1:11" s="24" customFormat="1" x14ac:dyDescent="0.25">
      <c r="B664" s="42"/>
      <c r="C664" s="20"/>
      <c r="D664" s="21"/>
      <c r="E664" s="22"/>
      <c r="F664" s="23"/>
      <c r="G664" s="23"/>
      <c r="H664" s="22"/>
      <c r="I664" s="22"/>
      <c r="J664" s="22"/>
      <c r="K664" s="22"/>
    </row>
    <row r="665" spans="1:11" s="24" customFormat="1" x14ac:dyDescent="0.25">
      <c r="B665" s="43"/>
      <c r="C665" s="16"/>
      <c r="D665" s="17"/>
      <c r="E665" s="18"/>
      <c r="F665" s="19"/>
      <c r="G665" s="19"/>
      <c r="H665" s="18"/>
      <c r="I665" s="18"/>
      <c r="J665" s="18"/>
      <c r="K665" s="18"/>
    </row>
    <row r="666" spans="1:11" s="24" customFormat="1" x14ac:dyDescent="0.25">
      <c r="B666" s="42"/>
      <c r="C666" s="20"/>
      <c r="D666" s="21"/>
      <c r="E666" s="22"/>
      <c r="F666" s="23"/>
      <c r="G666" s="23"/>
      <c r="H666" s="22"/>
      <c r="I666" s="22"/>
      <c r="J666" s="22"/>
      <c r="K666" s="22"/>
    </row>
    <row r="667" spans="1:11" s="24" customFormat="1" x14ac:dyDescent="0.25">
      <c r="B667" s="43"/>
      <c r="C667" s="16"/>
      <c r="D667" s="17"/>
      <c r="E667" s="18"/>
      <c r="F667" s="19"/>
      <c r="G667" s="19"/>
      <c r="H667" s="18"/>
      <c r="I667" s="18"/>
      <c r="J667" s="18"/>
      <c r="K667" s="18"/>
    </row>
    <row r="668" spans="1:11" s="24" customFormat="1" x14ac:dyDescent="0.25">
      <c r="A668" s="15"/>
      <c r="B668" s="42"/>
      <c r="C668" s="20"/>
      <c r="D668" s="21"/>
      <c r="E668" s="22"/>
      <c r="F668" s="23"/>
      <c r="G668" s="23"/>
      <c r="H668" s="22"/>
      <c r="I668" s="22"/>
      <c r="J668" s="22"/>
      <c r="K668" s="22"/>
    </row>
    <row r="669" spans="1:11" x14ac:dyDescent="0.25">
      <c r="A669" s="15"/>
      <c r="B669" s="43"/>
      <c r="C669" s="16"/>
      <c r="D669" s="17"/>
      <c r="E669" s="18"/>
      <c r="F669" s="19"/>
      <c r="G669" s="19"/>
      <c r="H669" s="18"/>
      <c r="I669" s="18"/>
      <c r="J669" s="18"/>
      <c r="K669" s="18"/>
    </row>
    <row r="670" spans="1:11" x14ac:dyDescent="0.25">
      <c r="A670" s="15"/>
      <c r="B670" s="42"/>
      <c r="C670" s="20"/>
      <c r="D670" s="21"/>
      <c r="E670" s="22"/>
      <c r="F670" s="23"/>
      <c r="G670" s="23"/>
      <c r="H670" s="22"/>
      <c r="I670" s="22"/>
      <c r="J670" s="22"/>
      <c r="K670" s="22"/>
    </row>
    <row r="671" spans="1:11" x14ac:dyDescent="0.25">
      <c r="A671" s="15"/>
      <c r="B671" s="43"/>
      <c r="C671" s="16"/>
      <c r="D671" s="17"/>
      <c r="E671" s="18"/>
      <c r="F671" s="19"/>
      <c r="G671" s="19"/>
      <c r="H671" s="18"/>
      <c r="I671" s="18"/>
      <c r="J671" s="18"/>
      <c r="K671" s="18"/>
    </row>
    <row r="672" spans="1:11" x14ac:dyDescent="0.25">
      <c r="A672" s="15"/>
      <c r="B672" s="42"/>
      <c r="C672" s="20"/>
      <c r="D672" s="21"/>
      <c r="E672" s="22"/>
      <c r="F672" s="23"/>
      <c r="G672" s="23"/>
      <c r="H672" s="22"/>
      <c r="I672" s="22"/>
      <c r="J672" s="22"/>
      <c r="K672" s="22"/>
    </row>
    <row r="673" spans="1:11" x14ac:dyDescent="0.25">
      <c r="A673" s="15"/>
      <c r="B673" s="43"/>
      <c r="C673" s="16"/>
      <c r="D673" s="17"/>
      <c r="E673" s="18"/>
      <c r="F673" s="19"/>
      <c r="G673" s="19"/>
      <c r="H673" s="18"/>
      <c r="I673" s="18"/>
      <c r="J673" s="18"/>
      <c r="K673" s="18"/>
    </row>
    <row r="674" spans="1:11" x14ac:dyDescent="0.25">
      <c r="A674" s="15"/>
      <c r="B674" s="42"/>
      <c r="C674" s="20"/>
      <c r="D674" s="21"/>
      <c r="E674" s="22"/>
      <c r="F674" s="23"/>
      <c r="G674" s="23"/>
      <c r="H674" s="22"/>
      <c r="I674" s="22"/>
      <c r="J674" s="22"/>
      <c r="K674" s="22"/>
    </row>
    <row r="675" spans="1:11" x14ac:dyDescent="0.25">
      <c r="A675" s="15"/>
      <c r="B675" s="43"/>
      <c r="C675" s="16"/>
      <c r="D675" s="17"/>
      <c r="E675" s="18"/>
      <c r="F675" s="19"/>
      <c r="G675" s="19"/>
      <c r="H675" s="18"/>
      <c r="I675" s="18"/>
      <c r="J675" s="18"/>
      <c r="K675" s="18"/>
    </row>
    <row r="676" spans="1:11" x14ac:dyDescent="0.25">
      <c r="A676" s="15"/>
      <c r="B676" s="42"/>
      <c r="C676" s="20"/>
      <c r="D676" s="21"/>
      <c r="E676" s="22"/>
      <c r="F676" s="23"/>
      <c r="G676" s="23"/>
      <c r="H676" s="22"/>
      <c r="I676" s="22"/>
      <c r="J676" s="22"/>
      <c r="K676" s="22"/>
    </row>
    <row r="677" spans="1:11" x14ac:dyDescent="0.25">
      <c r="A677" s="15"/>
      <c r="B677" s="43"/>
      <c r="C677" s="16"/>
      <c r="D677" s="17"/>
      <c r="E677" s="18"/>
      <c r="F677" s="19"/>
      <c r="G677" s="19"/>
      <c r="H677" s="18"/>
      <c r="I677" s="18"/>
      <c r="J677" s="18"/>
      <c r="K677" s="18"/>
    </row>
    <row r="678" spans="1:11" ht="15" customHeight="1" x14ac:dyDescent="0.25">
      <c r="A678" s="15"/>
      <c r="B678" s="42"/>
      <c r="C678" s="20"/>
      <c r="D678" s="21"/>
      <c r="E678" s="22"/>
      <c r="F678" s="23"/>
      <c r="G678" s="23"/>
      <c r="H678" s="22"/>
      <c r="I678" s="22"/>
      <c r="J678" s="22"/>
      <c r="K678" s="22"/>
    </row>
    <row r="679" spans="1:11" ht="15" customHeight="1" x14ac:dyDescent="0.25">
      <c r="A679" s="15"/>
      <c r="B679" s="43"/>
      <c r="C679" s="16"/>
      <c r="D679" s="17"/>
      <c r="E679" s="18"/>
      <c r="F679" s="19"/>
      <c r="G679" s="19"/>
      <c r="H679" s="18"/>
      <c r="I679" s="18"/>
      <c r="J679" s="18"/>
      <c r="K679" s="18"/>
    </row>
    <row r="680" spans="1:11" ht="15" customHeight="1" x14ac:dyDescent="0.25">
      <c r="A680" s="15"/>
      <c r="B680" s="42"/>
      <c r="C680" s="20"/>
      <c r="D680" s="21"/>
      <c r="E680" s="22"/>
      <c r="F680" s="23"/>
      <c r="G680" s="23"/>
      <c r="H680" s="22"/>
      <c r="I680" s="22"/>
      <c r="J680" s="22"/>
      <c r="K680" s="22"/>
    </row>
    <row r="681" spans="1:11" ht="15" customHeight="1" x14ac:dyDescent="0.25">
      <c r="A681" s="15"/>
      <c r="B681" s="43"/>
      <c r="C681" s="16"/>
      <c r="D681" s="17"/>
      <c r="E681" s="18"/>
      <c r="F681" s="19"/>
      <c r="G681" s="19"/>
      <c r="H681" s="18"/>
      <c r="I681" s="18"/>
      <c r="J681" s="18"/>
      <c r="K681" s="18"/>
    </row>
    <row r="682" spans="1:11" ht="15" customHeight="1" x14ac:dyDescent="0.25">
      <c r="A682" s="15"/>
      <c r="B682" s="42"/>
      <c r="C682" s="20"/>
      <c r="D682" s="21"/>
      <c r="E682" s="22"/>
      <c r="F682" s="23"/>
      <c r="G682" s="23"/>
      <c r="H682" s="22"/>
      <c r="I682" s="22"/>
      <c r="J682" s="22"/>
      <c r="K682" s="22"/>
    </row>
    <row r="683" spans="1:11" ht="15" customHeight="1" x14ac:dyDescent="0.25">
      <c r="A683" s="15"/>
      <c r="B683" s="43"/>
      <c r="C683" s="16"/>
      <c r="D683" s="17"/>
      <c r="E683" s="18"/>
      <c r="F683" s="19"/>
      <c r="G683" s="19"/>
      <c r="H683" s="18"/>
      <c r="I683" s="18"/>
      <c r="J683" s="18"/>
      <c r="K683" s="18"/>
    </row>
    <row r="684" spans="1:11" ht="15" customHeight="1" x14ac:dyDescent="0.25">
      <c r="A684" s="15"/>
      <c r="B684" s="42"/>
      <c r="C684" s="20"/>
      <c r="D684" s="21"/>
      <c r="E684" s="22"/>
      <c r="F684" s="23"/>
      <c r="G684" s="23"/>
      <c r="H684" s="22"/>
      <c r="I684" s="22"/>
      <c r="J684" s="22"/>
      <c r="K684" s="22"/>
    </row>
    <row r="685" spans="1:11" ht="15" customHeight="1" x14ac:dyDescent="0.25">
      <c r="A685" s="15"/>
      <c r="B685" s="43"/>
      <c r="C685" s="16"/>
      <c r="D685" s="17"/>
      <c r="E685" s="18"/>
      <c r="F685" s="19"/>
      <c r="G685" s="19"/>
      <c r="H685" s="18"/>
      <c r="I685" s="18"/>
      <c r="J685" s="18"/>
      <c r="K685" s="18"/>
    </row>
    <row r="686" spans="1:11" ht="15" customHeight="1" x14ac:dyDescent="0.25">
      <c r="A686" s="15"/>
      <c r="B686" s="42"/>
      <c r="C686" s="20"/>
      <c r="D686" s="21"/>
      <c r="E686" s="22"/>
      <c r="F686" s="23"/>
      <c r="G686" s="23"/>
      <c r="H686" s="22"/>
      <c r="I686" s="22"/>
      <c r="J686" s="22"/>
      <c r="K686" s="22"/>
    </row>
    <row r="687" spans="1:11" ht="15" customHeight="1" x14ac:dyDescent="0.25">
      <c r="A687" s="15"/>
      <c r="B687" s="43"/>
      <c r="C687" s="16"/>
      <c r="D687" s="17"/>
      <c r="E687" s="18"/>
      <c r="F687" s="19"/>
      <c r="G687" s="19"/>
      <c r="H687" s="18"/>
      <c r="I687" s="18"/>
      <c r="J687" s="18"/>
      <c r="K687" s="18"/>
    </row>
    <row r="688" spans="1:11" ht="15" customHeight="1" x14ac:dyDescent="0.25">
      <c r="A688" s="15"/>
      <c r="B688" s="38"/>
      <c r="C688" s="24"/>
      <c r="D688" s="25"/>
      <c r="E688" s="24"/>
      <c r="F688" s="26"/>
      <c r="G688" s="26"/>
      <c r="H688" s="24"/>
      <c r="I688" s="24"/>
      <c r="J688" s="24"/>
      <c r="K688" s="24"/>
    </row>
    <row r="689" spans="1:11" s="5" customFormat="1" ht="15" customHeight="1" x14ac:dyDescent="0.25">
      <c r="A689" s="27"/>
      <c r="B689" s="38"/>
      <c r="C689" s="27"/>
      <c r="D689" s="28"/>
      <c r="E689" s="29"/>
      <c r="F689" s="30"/>
      <c r="G689" s="30"/>
      <c r="H689" s="29"/>
      <c r="I689" s="29"/>
      <c r="J689" s="29"/>
      <c r="K689" s="29"/>
    </row>
    <row r="690" spans="1:11" s="5" customFormat="1" ht="15" customHeight="1" x14ac:dyDescent="0.25">
      <c r="A690" s="27"/>
      <c r="B690" s="38"/>
      <c r="C690" s="27"/>
      <c r="D690" s="28"/>
      <c r="E690" s="31"/>
      <c r="F690" s="32"/>
      <c r="G690" s="32"/>
      <c r="H690" s="31"/>
      <c r="I690" s="31"/>
      <c r="J690" s="31"/>
      <c r="K690" s="31"/>
    </row>
    <row r="691" spans="1:11" s="5" customFormat="1" ht="15" customHeight="1" x14ac:dyDescent="0.25">
      <c r="A691" s="27"/>
      <c r="B691" s="38"/>
      <c r="C691" s="27"/>
      <c r="D691" s="28"/>
      <c r="E691" s="33"/>
      <c r="F691" s="34"/>
      <c r="G691" s="34"/>
      <c r="H691" s="33"/>
      <c r="I691" s="33"/>
      <c r="J691" s="33"/>
      <c r="K691" s="33"/>
    </row>
    <row r="692" spans="1:11" s="5" customFormat="1" ht="15" customHeight="1" x14ac:dyDescent="0.25">
      <c r="B692" s="37"/>
      <c r="D692" s="6"/>
      <c r="E692"/>
      <c r="F692" s="13"/>
      <c r="G692" s="13"/>
      <c r="H692"/>
      <c r="I692"/>
      <c r="J692"/>
      <c r="K692"/>
    </row>
    <row r="693" spans="1:11" s="5" customFormat="1" ht="15" customHeight="1" x14ac:dyDescent="0.25">
      <c r="B693" s="37"/>
      <c r="D693" s="6"/>
      <c r="E693"/>
      <c r="F693" s="13"/>
      <c r="G693" s="13"/>
      <c r="H693"/>
      <c r="I693"/>
      <c r="J693"/>
      <c r="K693"/>
    </row>
    <row r="694" spans="1:11" ht="15" customHeight="1" x14ac:dyDescent="0.25">
      <c r="A694" s="5"/>
      <c r="B694" s="37"/>
      <c r="E694" s="8"/>
      <c r="F694" s="14"/>
      <c r="G694" s="14"/>
      <c r="H694" s="8"/>
      <c r="I694" s="8"/>
      <c r="J694" s="8"/>
      <c r="K694" s="8"/>
    </row>
    <row r="695" spans="1:11" ht="15" customHeight="1" x14ac:dyDescent="0.25">
      <c r="A695" s="5"/>
      <c r="B695" s="37"/>
    </row>
    <row r="696" spans="1:11" ht="15" customHeight="1" x14ac:dyDescent="0.25">
      <c r="A696" s="5"/>
      <c r="B696" s="37"/>
    </row>
    <row r="697" spans="1:11" ht="15" customHeight="1" x14ac:dyDescent="0.25">
      <c r="A697" s="5"/>
      <c r="B697" s="37"/>
    </row>
    <row r="698" spans="1:11" ht="15" customHeight="1" x14ac:dyDescent="0.25">
      <c r="A698" s="5"/>
      <c r="B698" s="37"/>
    </row>
    <row r="699" spans="1:11" ht="15" customHeight="1" x14ac:dyDescent="0.25">
      <c r="A699" s="5"/>
      <c r="B699" s="37"/>
    </row>
    <row r="700" spans="1:11" ht="15" customHeight="1" x14ac:dyDescent="0.25"/>
    <row r="701" spans="1:11" ht="15" customHeight="1" x14ac:dyDescent="0.25"/>
    <row r="702" spans="1:11" ht="15" customHeight="1" x14ac:dyDescent="0.25"/>
    <row r="703" spans="1:11" ht="15" customHeight="1" x14ac:dyDescent="0.25"/>
    <row r="704" spans="1:11" ht="15" customHeight="1" x14ac:dyDescent="0.25"/>
    <row r="705" spans="2:7" ht="15" customHeight="1" x14ac:dyDescent="0.25"/>
    <row r="706" spans="2:7" ht="15" customHeight="1" x14ac:dyDescent="0.25"/>
    <row r="707" spans="2:7" s="8" customFormat="1" ht="15" customHeight="1" x14ac:dyDescent="0.25">
      <c r="F707" s="14"/>
      <c r="G707" s="14"/>
    </row>
    <row r="708" spans="2:7" s="1" customFormat="1" ht="15" customHeight="1" x14ac:dyDescent="0.25">
      <c r="C708" s="10"/>
      <c r="D708" s="10"/>
      <c r="F708" s="12"/>
      <c r="G708" s="12"/>
    </row>
    <row r="709" spans="2:7" ht="15" customHeight="1" x14ac:dyDescent="0.25">
      <c r="B709" s="9"/>
      <c r="C709" s="7"/>
      <c r="D709" s="7"/>
    </row>
    <row r="710" spans="2:7" ht="15" customHeight="1" x14ac:dyDescent="0.25">
      <c r="B710" s="9"/>
      <c r="C710" s="7"/>
    </row>
    <row r="711" spans="2:7" x14ac:dyDescent="0.25">
      <c r="B711" s="9"/>
      <c r="C711" s="7"/>
      <c r="D711" s="7"/>
    </row>
    <row r="712" spans="2:7" x14ac:dyDescent="0.25">
      <c r="B712" s="9"/>
      <c r="C712" s="7"/>
      <c r="D712" s="7"/>
    </row>
    <row r="713" spans="2:7" x14ac:dyDescent="0.25">
      <c r="B713" s="9"/>
      <c r="C713" s="7"/>
      <c r="D713" s="7"/>
    </row>
    <row r="714" spans="2:7" x14ac:dyDescent="0.25">
      <c r="B714" s="9"/>
      <c r="C714" s="7"/>
      <c r="D714" s="7"/>
    </row>
    <row r="715" spans="2:7" x14ac:dyDescent="0.25">
      <c r="B715" s="9"/>
      <c r="C715" s="7"/>
      <c r="D715" s="7"/>
    </row>
    <row r="716" spans="2:7" x14ac:dyDescent="0.25">
      <c r="B716" s="9"/>
      <c r="C716" s="7"/>
      <c r="D716" s="7"/>
    </row>
    <row r="717" spans="2:7" x14ac:dyDescent="0.25">
      <c r="B717" s="9"/>
      <c r="C717" s="7"/>
    </row>
    <row r="718" spans="2:7" x14ac:dyDescent="0.25">
      <c r="B718" s="9"/>
      <c r="C718" s="7"/>
    </row>
    <row r="719" spans="2:7" x14ac:dyDescent="0.25">
      <c r="B719" s="9"/>
      <c r="C719" s="7"/>
    </row>
    <row r="720" spans="2:7" x14ac:dyDescent="0.25">
      <c r="B720" s="9"/>
      <c r="C720" s="7"/>
    </row>
    <row r="721" spans="2:3" x14ac:dyDescent="0.25">
      <c r="B721" s="9"/>
      <c r="C721" s="7"/>
    </row>
    <row r="722" spans="2:3" x14ac:dyDescent="0.25">
      <c r="B722" s="9"/>
      <c r="C722" s="7"/>
    </row>
    <row r="723" spans="2:3" x14ac:dyDescent="0.25">
      <c r="B723" s="9"/>
      <c r="C723" s="7"/>
    </row>
    <row r="724" spans="2:3" x14ac:dyDescent="0.25">
      <c r="B724" s="9"/>
      <c r="C724" s="7"/>
    </row>
    <row r="725" spans="2:3" x14ac:dyDescent="0.25">
      <c r="B725" s="9"/>
      <c r="C725" s="7"/>
    </row>
    <row r="726" spans="2:3" x14ac:dyDescent="0.25">
      <c r="B726" s="9"/>
      <c r="C726" s="7"/>
    </row>
    <row r="727" spans="2:3" x14ac:dyDescent="0.25">
      <c r="B727" s="9"/>
      <c r="C727" s="7"/>
    </row>
    <row r="728" spans="2:3" x14ac:dyDescent="0.25">
      <c r="B728" s="9"/>
      <c r="C728" s="7"/>
    </row>
    <row r="729" spans="2:3" x14ac:dyDescent="0.25">
      <c r="B729" s="9"/>
      <c r="C729" s="7"/>
    </row>
    <row r="730" spans="2:3" x14ac:dyDescent="0.25">
      <c r="B730" s="9"/>
      <c r="C730" s="7"/>
    </row>
    <row r="731" spans="2:3" x14ac:dyDescent="0.25">
      <c r="B731" s="9"/>
      <c r="C731" s="7"/>
    </row>
    <row r="732" spans="2:3" x14ac:dyDescent="0.25">
      <c r="B732" s="9"/>
      <c r="C732" s="7"/>
    </row>
    <row r="733" spans="2:3" x14ac:dyDescent="0.25">
      <c r="B733" s="7"/>
      <c r="C733" s="7"/>
    </row>
  </sheetData>
  <autoFilter ref="A2:K69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Instructions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paul@pcwarner.com</dc:creator>
  <cp:lastModifiedBy>paul@pcwarner.com</cp:lastModifiedBy>
  <dcterms:created xsi:type="dcterms:W3CDTF">2022-10-04T20:52:37Z</dcterms:created>
  <dcterms:modified xsi:type="dcterms:W3CDTF">2026-02-08T19:05:01Z</dcterms:modified>
</cp:coreProperties>
</file>