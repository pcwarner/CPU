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1075" windowHeight="8265"/>
  </bookViews>
  <sheets>
    <sheet name="Instructions" sheetId="1" r:id="rId1"/>
  </sheets>
  <definedNames>
    <definedName name="_xlnm._FilterDatabase" localSheetId="0" hidden="1">Instructions!$A$2:$K$520</definedName>
  </definedNames>
  <calcPr calcId="145621"/>
</workbook>
</file>

<file path=xl/calcChain.xml><?xml version="1.0" encoding="utf-8"?>
<calcChain xmlns="http://schemas.openxmlformats.org/spreadsheetml/2006/main">
  <c r="H295" i="1" l="1"/>
  <c r="H296" i="1" s="1"/>
  <c r="I296" i="1" s="1"/>
  <c r="B295" i="1"/>
  <c r="C295" i="1" s="1"/>
  <c r="I294" i="1"/>
  <c r="D294" i="1"/>
  <c r="C294" i="1"/>
  <c r="H291" i="1"/>
  <c r="H292" i="1" s="1"/>
  <c r="I292" i="1" s="1"/>
  <c r="B291" i="1"/>
  <c r="B292" i="1" s="1"/>
  <c r="I290" i="1"/>
  <c r="D290" i="1"/>
  <c r="C290" i="1"/>
  <c r="H287" i="1"/>
  <c r="I287" i="1" s="1"/>
  <c r="B287" i="1"/>
  <c r="B288" i="1" s="1"/>
  <c r="I286" i="1"/>
  <c r="D286" i="1"/>
  <c r="C286" i="1"/>
  <c r="H283" i="1"/>
  <c r="I283" i="1" s="1"/>
  <c r="B283" i="1"/>
  <c r="B284" i="1" s="1"/>
  <c r="I282" i="1"/>
  <c r="D282" i="1"/>
  <c r="C282" i="1"/>
  <c r="H279" i="1"/>
  <c r="H280" i="1" s="1"/>
  <c r="I280" i="1" s="1"/>
  <c r="B279" i="1"/>
  <c r="B280" i="1" s="1"/>
  <c r="I278" i="1"/>
  <c r="D278" i="1"/>
  <c r="C278" i="1"/>
  <c r="H288" i="1" l="1"/>
  <c r="I288" i="1" s="1"/>
  <c r="B296" i="1"/>
  <c r="D296" i="1" s="1"/>
  <c r="H284" i="1"/>
  <c r="I284" i="1" s="1"/>
  <c r="D284" i="1"/>
  <c r="C284" i="1"/>
  <c r="D292" i="1"/>
  <c r="C292" i="1"/>
  <c r="D288" i="1"/>
  <c r="C288" i="1"/>
  <c r="D280" i="1"/>
  <c r="C280" i="1"/>
  <c r="D279" i="1"/>
  <c r="C279" i="1"/>
  <c r="C283" i="1"/>
  <c r="D283" i="1"/>
  <c r="D295" i="1"/>
  <c r="C287" i="1"/>
  <c r="I279" i="1"/>
  <c r="D287" i="1"/>
  <c r="D291" i="1"/>
  <c r="I291" i="1"/>
  <c r="C291" i="1"/>
  <c r="I295" i="1"/>
  <c r="C296" i="1"/>
  <c r="C270" i="1"/>
  <c r="D270" i="1"/>
  <c r="I270" i="1"/>
  <c r="C138" i="1"/>
  <c r="D138" i="1"/>
  <c r="I138" i="1"/>
  <c r="C263" i="1"/>
  <c r="D263" i="1"/>
  <c r="I263" i="1"/>
  <c r="B259" i="1"/>
  <c r="D259" i="1" s="1"/>
  <c r="C134" i="1"/>
  <c r="D134" i="1"/>
  <c r="I134" i="1"/>
  <c r="B255" i="1"/>
  <c r="D255" i="1" s="1"/>
  <c r="B251" i="1"/>
  <c r="C251" i="1" s="1"/>
  <c r="B247" i="1"/>
  <c r="B248" i="1" s="1"/>
  <c r="B243" i="1"/>
  <c r="D243" i="1" s="1"/>
  <c r="B209" i="1"/>
  <c r="D209" i="1" s="1"/>
  <c r="B205" i="1"/>
  <c r="D205" i="1" s="1"/>
  <c r="B201" i="1"/>
  <c r="C201" i="1" s="1"/>
  <c r="B197" i="1"/>
  <c r="D197" i="1" s="1"/>
  <c r="B193" i="1"/>
  <c r="C193" i="1" s="1"/>
  <c r="B159" i="1"/>
  <c r="D159" i="1" s="1"/>
  <c r="B155" i="1"/>
  <c r="B156" i="1" s="1"/>
  <c r="B151" i="1"/>
  <c r="D151" i="1" s="1"/>
  <c r="B147" i="1"/>
  <c r="C147" i="1" s="1"/>
  <c r="B143" i="1"/>
  <c r="D143" i="1" s="1"/>
  <c r="B124" i="1"/>
  <c r="D124" i="1" s="1"/>
  <c r="B120" i="1"/>
  <c r="D120" i="1" s="1"/>
  <c r="B116" i="1"/>
  <c r="C116" i="1" s="1"/>
  <c r="B112" i="1"/>
  <c r="C112" i="1" s="1"/>
  <c r="B108" i="1"/>
  <c r="C108" i="1" s="1"/>
  <c r="B74" i="1"/>
  <c r="C74" i="1" s="1"/>
  <c r="B70" i="1"/>
  <c r="C70" i="1" s="1"/>
  <c r="B66" i="1"/>
  <c r="C66" i="1" s="1"/>
  <c r="B62" i="1"/>
  <c r="C62" i="1" s="1"/>
  <c r="B58" i="1"/>
  <c r="C58" i="1" s="1"/>
  <c r="B275" i="1"/>
  <c r="C275" i="1" s="1"/>
  <c r="B271" i="1"/>
  <c r="D271" i="1" s="1"/>
  <c r="B264" i="1"/>
  <c r="D264" i="1" s="1"/>
  <c r="B139" i="1"/>
  <c r="D139" i="1" s="1"/>
  <c r="B135" i="1"/>
  <c r="D135" i="1" s="1"/>
  <c r="B128" i="1"/>
  <c r="C128" i="1" s="1"/>
  <c r="H259" i="1"/>
  <c r="I259" i="1" s="1"/>
  <c r="I258" i="1"/>
  <c r="H255" i="1"/>
  <c r="I255" i="1" s="1"/>
  <c r="I254" i="1"/>
  <c r="H251" i="1"/>
  <c r="H252" i="1" s="1"/>
  <c r="I252" i="1" s="1"/>
  <c r="I250" i="1"/>
  <c r="H247" i="1"/>
  <c r="I247" i="1" s="1"/>
  <c r="I246" i="1"/>
  <c r="H243" i="1"/>
  <c r="I243" i="1" s="1"/>
  <c r="I242" i="1"/>
  <c r="H209" i="1"/>
  <c r="I209" i="1" s="1"/>
  <c r="I208" i="1"/>
  <c r="H205" i="1"/>
  <c r="I205" i="1" s="1"/>
  <c r="I204" i="1"/>
  <c r="H201" i="1"/>
  <c r="H202" i="1" s="1"/>
  <c r="I202" i="1" s="1"/>
  <c r="I200" i="1"/>
  <c r="H197" i="1"/>
  <c r="I197" i="1" s="1"/>
  <c r="I196" i="1"/>
  <c r="H193" i="1"/>
  <c r="H194" i="1" s="1"/>
  <c r="I194" i="1" s="1"/>
  <c r="I192" i="1"/>
  <c r="H159" i="1"/>
  <c r="I159" i="1" s="1"/>
  <c r="I158" i="1"/>
  <c r="H155" i="1"/>
  <c r="H156" i="1" s="1"/>
  <c r="I156" i="1" s="1"/>
  <c r="I154" i="1"/>
  <c r="H151" i="1"/>
  <c r="I151" i="1" s="1"/>
  <c r="I150" i="1"/>
  <c r="H147" i="1"/>
  <c r="I147" i="1" s="1"/>
  <c r="I146" i="1"/>
  <c r="H143" i="1"/>
  <c r="I143" i="1" s="1"/>
  <c r="I142" i="1"/>
  <c r="H124" i="1"/>
  <c r="I124" i="1" s="1"/>
  <c r="I123" i="1"/>
  <c r="H120" i="1"/>
  <c r="I120" i="1" s="1"/>
  <c r="I119" i="1"/>
  <c r="H116" i="1"/>
  <c r="I116" i="1" s="1"/>
  <c r="I115" i="1"/>
  <c r="H112" i="1"/>
  <c r="I112" i="1" s="1"/>
  <c r="I111" i="1"/>
  <c r="H108" i="1"/>
  <c r="I108" i="1" s="1"/>
  <c r="I107" i="1"/>
  <c r="H74" i="1"/>
  <c r="H75" i="1" s="1"/>
  <c r="I75" i="1" s="1"/>
  <c r="I73" i="1"/>
  <c r="H70" i="1"/>
  <c r="I70" i="1" s="1"/>
  <c r="I69" i="1"/>
  <c r="H66" i="1"/>
  <c r="I66" i="1" s="1"/>
  <c r="I65" i="1"/>
  <c r="H62" i="1"/>
  <c r="H63" i="1" s="1"/>
  <c r="I63" i="1" s="1"/>
  <c r="I61" i="1"/>
  <c r="H58" i="1"/>
  <c r="I58" i="1" s="1"/>
  <c r="I57" i="1"/>
  <c r="H275" i="1"/>
  <c r="I275" i="1" s="1"/>
  <c r="I274" i="1"/>
  <c r="H271" i="1"/>
  <c r="I271" i="1" s="1"/>
  <c r="H264" i="1"/>
  <c r="I264" i="1" s="1"/>
  <c r="H139" i="1"/>
  <c r="I139" i="1" s="1"/>
  <c r="H135" i="1"/>
  <c r="I135" i="1" s="1"/>
  <c r="H128" i="1"/>
  <c r="I128" i="1" s="1"/>
  <c r="I127" i="1"/>
  <c r="D258" i="1"/>
  <c r="C258" i="1"/>
  <c r="D254" i="1"/>
  <c r="C254" i="1"/>
  <c r="D250" i="1"/>
  <c r="C250" i="1"/>
  <c r="D246" i="1"/>
  <c r="C246" i="1"/>
  <c r="D242" i="1"/>
  <c r="C242" i="1"/>
  <c r="D208" i="1"/>
  <c r="C208" i="1"/>
  <c r="D204" i="1"/>
  <c r="C204" i="1"/>
  <c r="D200" i="1"/>
  <c r="C200" i="1"/>
  <c r="D196" i="1"/>
  <c r="C196" i="1"/>
  <c r="D192" i="1"/>
  <c r="C192" i="1"/>
  <c r="D158" i="1"/>
  <c r="C158" i="1"/>
  <c r="D154" i="1"/>
  <c r="C154" i="1"/>
  <c r="D150" i="1"/>
  <c r="C150" i="1"/>
  <c r="D146" i="1"/>
  <c r="C146" i="1"/>
  <c r="D142" i="1"/>
  <c r="C142" i="1"/>
  <c r="D123" i="1"/>
  <c r="C123" i="1"/>
  <c r="D119" i="1"/>
  <c r="C119" i="1"/>
  <c r="D115" i="1"/>
  <c r="C115" i="1"/>
  <c r="D111" i="1"/>
  <c r="C111" i="1"/>
  <c r="D107" i="1"/>
  <c r="C107" i="1"/>
  <c r="D73" i="1"/>
  <c r="C73" i="1"/>
  <c r="D69" i="1"/>
  <c r="C69" i="1"/>
  <c r="D65" i="1"/>
  <c r="C65" i="1"/>
  <c r="D61" i="1"/>
  <c r="C61" i="1"/>
  <c r="D57" i="1"/>
  <c r="C57" i="1"/>
  <c r="D274" i="1"/>
  <c r="C274" i="1"/>
  <c r="D127" i="1"/>
  <c r="C127" i="1"/>
  <c r="B22" i="1"/>
  <c r="B23" i="1" s="1"/>
  <c r="C23" i="1" s="1"/>
  <c r="I21" i="1"/>
  <c r="H22" i="1"/>
  <c r="H23" i="1" s="1"/>
  <c r="I23" i="1" s="1"/>
  <c r="D21" i="1"/>
  <c r="C21" i="1"/>
  <c r="I201" i="1" l="1"/>
  <c r="C143" i="1"/>
  <c r="C159" i="1"/>
  <c r="I251" i="1"/>
  <c r="D74" i="1"/>
  <c r="D62" i="1"/>
  <c r="I155" i="1"/>
  <c r="I74" i="1"/>
  <c r="I193" i="1"/>
  <c r="H152" i="1"/>
  <c r="I152" i="1" s="1"/>
  <c r="B252" i="1"/>
  <c r="D247" i="1"/>
  <c r="B256" i="1"/>
  <c r="D256" i="1" s="1"/>
  <c r="C155" i="1"/>
  <c r="B71" i="1"/>
  <c r="H256" i="1"/>
  <c r="I256" i="1" s="1"/>
  <c r="D155" i="1"/>
  <c r="B121" i="1"/>
  <c r="B260" i="1"/>
  <c r="D260" i="1" s="1"/>
  <c r="H260" i="1"/>
  <c r="I260" i="1" s="1"/>
  <c r="H265" i="1"/>
  <c r="B129" i="1"/>
  <c r="D129" i="1" s="1"/>
  <c r="H129" i="1"/>
  <c r="B265" i="1"/>
  <c r="C248" i="1"/>
  <c r="D248" i="1"/>
  <c r="D156" i="1"/>
  <c r="C156" i="1"/>
  <c r="H136" i="1"/>
  <c r="I136" i="1" s="1"/>
  <c r="B67" i="1"/>
  <c r="B109" i="1"/>
  <c r="H148" i="1"/>
  <c r="I148" i="1" s="1"/>
  <c r="H160" i="1"/>
  <c r="I160" i="1" s="1"/>
  <c r="B210" i="1"/>
  <c r="H276" i="1"/>
  <c r="I276" i="1" s="1"/>
  <c r="B194" i="1"/>
  <c r="D194" i="1" s="1"/>
  <c r="H248" i="1"/>
  <c r="I248" i="1" s="1"/>
  <c r="B140" i="1"/>
  <c r="B152" i="1"/>
  <c r="C152" i="1" s="1"/>
  <c r="D108" i="1"/>
  <c r="D147" i="1"/>
  <c r="C205" i="1"/>
  <c r="B59" i="1"/>
  <c r="H67" i="1"/>
  <c r="I67" i="1" s="1"/>
  <c r="H109" i="1"/>
  <c r="I109" i="1" s="1"/>
  <c r="H121" i="1"/>
  <c r="I121" i="1" s="1"/>
  <c r="B198" i="1"/>
  <c r="H210" i="1"/>
  <c r="I210" i="1" s="1"/>
  <c r="I62" i="1"/>
  <c r="D275" i="1"/>
  <c r="D112" i="1"/>
  <c r="C209" i="1"/>
  <c r="H140" i="1"/>
  <c r="I140" i="1" s="1"/>
  <c r="B113" i="1"/>
  <c r="B125" i="1"/>
  <c r="H198" i="1"/>
  <c r="I198" i="1" s="1"/>
  <c r="B244" i="1"/>
  <c r="H59" i="1"/>
  <c r="I59" i="1" s="1"/>
  <c r="B202" i="1"/>
  <c r="D58" i="1"/>
  <c r="D116" i="1"/>
  <c r="B272" i="1"/>
  <c r="D272" i="1" s="1"/>
  <c r="B63" i="1"/>
  <c r="H71" i="1"/>
  <c r="I71" i="1" s="1"/>
  <c r="H125" i="1"/>
  <c r="I125" i="1" s="1"/>
  <c r="C247" i="1"/>
  <c r="H272" i="1"/>
  <c r="I272" i="1" s="1"/>
  <c r="H113" i="1"/>
  <c r="I113" i="1" s="1"/>
  <c r="B144" i="1"/>
  <c r="D144" i="1" s="1"/>
  <c r="H244" i="1"/>
  <c r="I244" i="1" s="1"/>
  <c r="H268" i="1"/>
  <c r="I268" i="1" s="1"/>
  <c r="B75" i="1"/>
  <c r="B117" i="1"/>
  <c r="H144" i="1"/>
  <c r="I144" i="1" s="1"/>
  <c r="B160" i="1"/>
  <c r="B206" i="1"/>
  <c r="C124" i="1"/>
  <c r="B136" i="1"/>
  <c r="B276" i="1"/>
  <c r="D193" i="1"/>
  <c r="H117" i="1"/>
  <c r="I117" i="1" s="1"/>
  <c r="B148" i="1"/>
  <c r="C148" i="1" s="1"/>
  <c r="H206" i="1"/>
  <c r="I206" i="1" s="1"/>
  <c r="B268" i="1"/>
  <c r="B132" i="1"/>
  <c r="H132" i="1"/>
  <c r="I132" i="1" s="1"/>
  <c r="D152" i="1"/>
  <c r="D70" i="1"/>
  <c r="D201" i="1"/>
  <c r="D251" i="1"/>
  <c r="D66" i="1"/>
  <c r="C120" i="1"/>
  <c r="C151" i="1"/>
  <c r="C259" i="1"/>
  <c r="C135" i="1"/>
  <c r="C255" i="1"/>
  <c r="C243" i="1"/>
  <c r="C197" i="1"/>
  <c r="C271" i="1"/>
  <c r="C264" i="1"/>
  <c r="C139" i="1"/>
  <c r="D128" i="1"/>
  <c r="B24" i="1"/>
  <c r="B25" i="1" s="1"/>
  <c r="D25" i="1" s="1"/>
  <c r="H24" i="1"/>
  <c r="H25" i="1" s="1"/>
  <c r="I25" i="1" s="1"/>
  <c r="I22" i="1"/>
  <c r="D22" i="1"/>
  <c r="C22" i="1"/>
  <c r="D23" i="1"/>
  <c r="H232" i="1"/>
  <c r="H233" i="1" s="1"/>
  <c r="B232" i="1"/>
  <c r="C232" i="1" s="1"/>
  <c r="I231" i="1"/>
  <c r="D231" i="1"/>
  <c r="C231" i="1"/>
  <c r="H182" i="1"/>
  <c r="H183" i="1" s="1"/>
  <c r="B182" i="1"/>
  <c r="D182" i="1" s="1"/>
  <c r="I181" i="1"/>
  <c r="D181" i="1"/>
  <c r="C181" i="1"/>
  <c r="C96" i="1"/>
  <c r="D96" i="1"/>
  <c r="I96" i="1"/>
  <c r="B97" i="1"/>
  <c r="C97" i="1" s="1"/>
  <c r="H97" i="1"/>
  <c r="I97" i="1" s="1"/>
  <c r="H220" i="1"/>
  <c r="I220" i="1" s="1"/>
  <c r="B220" i="1"/>
  <c r="B221" i="1" s="1"/>
  <c r="I219" i="1"/>
  <c r="D219" i="1"/>
  <c r="C219" i="1"/>
  <c r="H213" i="1"/>
  <c r="I213" i="1" s="1"/>
  <c r="B213" i="1"/>
  <c r="D213" i="1" s="1"/>
  <c r="I212" i="1"/>
  <c r="D212" i="1"/>
  <c r="C212" i="1"/>
  <c r="C272" i="1" l="1"/>
  <c r="C256" i="1"/>
  <c r="C194" i="1"/>
  <c r="D121" i="1"/>
  <c r="C121" i="1"/>
  <c r="C129" i="1"/>
  <c r="D71" i="1"/>
  <c r="C71" i="1"/>
  <c r="B130" i="1"/>
  <c r="B131" i="1" s="1"/>
  <c r="C252" i="1"/>
  <c r="D252" i="1"/>
  <c r="C260" i="1"/>
  <c r="D265" i="1"/>
  <c r="C265" i="1"/>
  <c r="B266" i="1"/>
  <c r="H130" i="1"/>
  <c r="I129" i="1"/>
  <c r="H266" i="1"/>
  <c r="I265" i="1"/>
  <c r="C130" i="1"/>
  <c r="C202" i="1"/>
  <c r="D202" i="1"/>
  <c r="D198" i="1"/>
  <c r="C198" i="1"/>
  <c r="C144" i="1"/>
  <c r="C276" i="1"/>
  <c r="D276" i="1"/>
  <c r="D244" i="1"/>
  <c r="C244" i="1"/>
  <c r="D148" i="1"/>
  <c r="D136" i="1"/>
  <c r="C136" i="1"/>
  <c r="D210" i="1"/>
  <c r="C210" i="1"/>
  <c r="D125" i="1"/>
  <c r="C125" i="1"/>
  <c r="D59" i="1"/>
  <c r="C59" i="1"/>
  <c r="D109" i="1"/>
  <c r="C109" i="1"/>
  <c r="D206" i="1"/>
  <c r="C206" i="1"/>
  <c r="D67" i="1"/>
  <c r="C67" i="1"/>
  <c r="D113" i="1"/>
  <c r="C113" i="1"/>
  <c r="D160" i="1"/>
  <c r="C160" i="1"/>
  <c r="C268" i="1"/>
  <c r="D268" i="1"/>
  <c r="D63" i="1"/>
  <c r="C63" i="1"/>
  <c r="D117" i="1"/>
  <c r="C117" i="1"/>
  <c r="C75" i="1"/>
  <c r="D75" i="1"/>
  <c r="D140" i="1"/>
  <c r="C140" i="1"/>
  <c r="D132" i="1"/>
  <c r="C132" i="1"/>
  <c r="I24" i="1"/>
  <c r="D24" i="1"/>
  <c r="C24" i="1"/>
  <c r="C25" i="1"/>
  <c r="H221" i="1"/>
  <c r="I221" i="1" s="1"/>
  <c r="I182" i="1"/>
  <c r="B183" i="1"/>
  <c r="D183" i="1" s="1"/>
  <c r="H234" i="1"/>
  <c r="I233" i="1"/>
  <c r="D232" i="1"/>
  <c r="B233" i="1"/>
  <c r="I232" i="1"/>
  <c r="H184" i="1"/>
  <c r="I183" i="1"/>
  <c r="C182" i="1"/>
  <c r="H98" i="1"/>
  <c r="B98" i="1"/>
  <c r="D97" i="1"/>
  <c r="B214" i="1"/>
  <c r="B215" i="1" s="1"/>
  <c r="B216" i="1" s="1"/>
  <c r="B222" i="1"/>
  <c r="D221" i="1"/>
  <c r="C221" i="1"/>
  <c r="C220" i="1"/>
  <c r="D220" i="1"/>
  <c r="H214" i="1"/>
  <c r="C213" i="1"/>
  <c r="D169" i="1"/>
  <c r="B170" i="1"/>
  <c r="B171" i="1" s="1"/>
  <c r="D171" i="1" s="1"/>
  <c r="B4" i="1"/>
  <c r="B5" i="1" s="1"/>
  <c r="B8" i="1"/>
  <c r="B9" i="1" s="1"/>
  <c r="B28" i="1"/>
  <c r="C28" i="1" s="1"/>
  <c r="B35" i="1"/>
  <c r="C35" i="1" s="1"/>
  <c r="B47" i="1"/>
  <c r="D47" i="1" s="1"/>
  <c r="D46" i="1"/>
  <c r="D34" i="1"/>
  <c r="D27" i="1"/>
  <c r="D130" i="1" l="1"/>
  <c r="H267" i="1"/>
  <c r="I267" i="1" s="1"/>
  <c r="I266" i="1"/>
  <c r="H131" i="1"/>
  <c r="I131" i="1" s="1"/>
  <c r="I130" i="1"/>
  <c r="B267" i="1"/>
  <c r="D266" i="1"/>
  <c r="C266" i="1"/>
  <c r="D131" i="1"/>
  <c r="C131" i="1"/>
  <c r="H222" i="1"/>
  <c r="H223" i="1" s="1"/>
  <c r="I223" i="1" s="1"/>
  <c r="C183" i="1"/>
  <c r="B184" i="1"/>
  <c r="D184" i="1" s="1"/>
  <c r="D233" i="1"/>
  <c r="C233" i="1"/>
  <c r="B234" i="1"/>
  <c r="H235" i="1"/>
  <c r="I234" i="1"/>
  <c r="H99" i="1"/>
  <c r="I98" i="1"/>
  <c r="H185" i="1"/>
  <c r="I184" i="1"/>
  <c r="B99" i="1"/>
  <c r="C98" i="1"/>
  <c r="D98" i="1"/>
  <c r="C214" i="1"/>
  <c r="C215" i="1"/>
  <c r="D215" i="1"/>
  <c r="D214" i="1"/>
  <c r="B223" i="1"/>
  <c r="D222" i="1"/>
  <c r="C222" i="1"/>
  <c r="B217" i="1"/>
  <c r="D216" i="1"/>
  <c r="C216" i="1"/>
  <c r="H215" i="1"/>
  <c r="I214" i="1"/>
  <c r="C8" i="1"/>
  <c r="C4" i="1"/>
  <c r="D8" i="1"/>
  <c r="D4" i="1"/>
  <c r="D28" i="1"/>
  <c r="D170" i="1"/>
  <c r="B172" i="1"/>
  <c r="C171" i="1"/>
  <c r="C170" i="1"/>
  <c r="D5" i="1"/>
  <c r="C5" i="1"/>
  <c r="D9" i="1"/>
  <c r="C9" i="1"/>
  <c r="B10" i="1"/>
  <c r="B29" i="1"/>
  <c r="D35" i="1"/>
  <c r="B36" i="1"/>
  <c r="B48" i="1"/>
  <c r="C47" i="1"/>
  <c r="H47" i="1"/>
  <c r="H48" i="1" s="1"/>
  <c r="I46" i="1"/>
  <c r="C46" i="1"/>
  <c r="I77" i="1"/>
  <c r="H78" i="1"/>
  <c r="I78" i="1" s="1"/>
  <c r="D267" i="1" l="1"/>
  <c r="C267" i="1"/>
  <c r="I222" i="1"/>
  <c r="H224" i="1"/>
  <c r="H225" i="1" s="1"/>
  <c r="H226" i="1" s="1"/>
  <c r="B185" i="1"/>
  <c r="D185" i="1" s="1"/>
  <c r="C184" i="1"/>
  <c r="I235" i="1"/>
  <c r="H236" i="1"/>
  <c r="D234" i="1"/>
  <c r="B235" i="1"/>
  <c r="C234" i="1"/>
  <c r="I185" i="1"/>
  <c r="H186" i="1"/>
  <c r="I99" i="1"/>
  <c r="H100" i="1"/>
  <c r="C99" i="1"/>
  <c r="D99" i="1"/>
  <c r="B100" i="1"/>
  <c r="B224" i="1"/>
  <c r="C223" i="1"/>
  <c r="D223" i="1"/>
  <c r="I215" i="1"/>
  <c r="H216" i="1"/>
  <c r="C217" i="1"/>
  <c r="D217" i="1"/>
  <c r="D172" i="1"/>
  <c r="C172" i="1"/>
  <c r="B173" i="1"/>
  <c r="H79" i="1"/>
  <c r="I79" i="1" s="1"/>
  <c r="C10" i="1"/>
  <c r="B11" i="1"/>
  <c r="D10" i="1"/>
  <c r="B30" i="1"/>
  <c r="C29" i="1"/>
  <c r="D29" i="1"/>
  <c r="B37" i="1"/>
  <c r="D36" i="1"/>
  <c r="C36" i="1"/>
  <c r="D48" i="1"/>
  <c r="B49" i="1"/>
  <c r="C48" i="1"/>
  <c r="H49" i="1"/>
  <c r="I48" i="1"/>
  <c r="I47" i="1"/>
  <c r="I169" i="1"/>
  <c r="I162" i="1"/>
  <c r="I84" i="1"/>
  <c r="I34" i="1"/>
  <c r="I27" i="1"/>
  <c r="I7" i="1"/>
  <c r="I3" i="1"/>
  <c r="H8" i="1"/>
  <c r="I8" i="1" s="1"/>
  <c r="D7" i="1"/>
  <c r="C7" i="1"/>
  <c r="H170" i="1"/>
  <c r="I170" i="1" s="1"/>
  <c r="H163" i="1"/>
  <c r="I163" i="1" s="1"/>
  <c r="I225" i="1" l="1"/>
  <c r="I224" i="1"/>
  <c r="B186" i="1"/>
  <c r="B187" i="1" s="1"/>
  <c r="C185" i="1"/>
  <c r="B236" i="1"/>
  <c r="C235" i="1"/>
  <c r="D235" i="1"/>
  <c r="I236" i="1"/>
  <c r="H237" i="1"/>
  <c r="H101" i="1"/>
  <c r="I101" i="1" s="1"/>
  <c r="I100" i="1"/>
  <c r="H187" i="1"/>
  <c r="I186" i="1"/>
  <c r="D100" i="1"/>
  <c r="C100" i="1"/>
  <c r="B101" i="1"/>
  <c r="B102" i="1" s="1"/>
  <c r="D224" i="1"/>
  <c r="C224" i="1"/>
  <c r="B225" i="1"/>
  <c r="I226" i="1"/>
  <c r="H227" i="1"/>
  <c r="H217" i="1"/>
  <c r="I217" i="1" s="1"/>
  <c r="I216" i="1"/>
  <c r="B174" i="1"/>
  <c r="D173" i="1"/>
  <c r="C173" i="1"/>
  <c r="B12" i="1"/>
  <c r="D11" i="1"/>
  <c r="C11" i="1"/>
  <c r="B31" i="1"/>
  <c r="C30" i="1"/>
  <c r="D30" i="1"/>
  <c r="B38" i="1"/>
  <c r="C37" i="1"/>
  <c r="D37" i="1"/>
  <c r="C49" i="1"/>
  <c r="D49" i="1"/>
  <c r="B50" i="1"/>
  <c r="H50" i="1"/>
  <c r="I49" i="1"/>
  <c r="H9" i="1"/>
  <c r="H171" i="1"/>
  <c r="H164" i="1"/>
  <c r="H85" i="1"/>
  <c r="H4" i="1"/>
  <c r="I4" i="1" s="1"/>
  <c r="H35" i="1"/>
  <c r="H28" i="1"/>
  <c r="C186" i="1" l="1"/>
  <c r="D186" i="1"/>
  <c r="H102" i="1"/>
  <c r="I102" i="1" s="1"/>
  <c r="H238" i="1"/>
  <c r="I237" i="1"/>
  <c r="B237" i="1"/>
  <c r="C236" i="1"/>
  <c r="D236" i="1"/>
  <c r="H188" i="1"/>
  <c r="I187" i="1"/>
  <c r="B188" i="1"/>
  <c r="D187" i="1"/>
  <c r="C187" i="1"/>
  <c r="C101" i="1"/>
  <c r="D101" i="1"/>
  <c r="B103" i="1"/>
  <c r="D102" i="1"/>
  <c r="C102" i="1"/>
  <c r="H228" i="1"/>
  <c r="I227" i="1"/>
  <c r="B226" i="1"/>
  <c r="D225" i="1"/>
  <c r="C225" i="1"/>
  <c r="I171" i="1"/>
  <c r="H172" i="1"/>
  <c r="I164" i="1"/>
  <c r="H165" i="1"/>
  <c r="D174" i="1"/>
  <c r="C174" i="1"/>
  <c r="B175" i="1"/>
  <c r="B13" i="1"/>
  <c r="C12" i="1"/>
  <c r="D12" i="1"/>
  <c r="B32" i="1"/>
  <c r="C31" i="1"/>
  <c r="D31" i="1"/>
  <c r="C38" i="1"/>
  <c r="D38" i="1"/>
  <c r="B39" i="1"/>
  <c r="D50" i="1"/>
  <c r="B51" i="1"/>
  <c r="C50" i="1"/>
  <c r="I50" i="1"/>
  <c r="H51" i="1"/>
  <c r="H29" i="1"/>
  <c r="I28" i="1"/>
  <c r="H36" i="1"/>
  <c r="H37" i="1" s="1"/>
  <c r="I35" i="1"/>
  <c r="H86" i="1"/>
  <c r="I85" i="1"/>
  <c r="I9" i="1"/>
  <c r="H10" i="1"/>
  <c r="H5" i="1"/>
  <c r="H103" i="1" l="1"/>
  <c r="C237" i="1"/>
  <c r="B238" i="1"/>
  <c r="D237" i="1"/>
  <c r="H239" i="1"/>
  <c r="I238" i="1"/>
  <c r="D188" i="1"/>
  <c r="C188" i="1"/>
  <c r="B189" i="1"/>
  <c r="H189" i="1"/>
  <c r="I188" i="1"/>
  <c r="I103" i="1"/>
  <c r="H104" i="1"/>
  <c r="D103" i="1"/>
  <c r="C103" i="1"/>
  <c r="B104" i="1"/>
  <c r="D226" i="1"/>
  <c r="C226" i="1"/>
  <c r="B227" i="1"/>
  <c r="I228" i="1"/>
  <c r="H229" i="1"/>
  <c r="I229" i="1" s="1"/>
  <c r="I172" i="1"/>
  <c r="H173" i="1"/>
  <c r="H166" i="1"/>
  <c r="I165" i="1"/>
  <c r="B176" i="1"/>
  <c r="C175" i="1"/>
  <c r="D175" i="1"/>
  <c r="D13" i="1"/>
  <c r="C13" i="1"/>
  <c r="B14" i="1"/>
  <c r="C32" i="1"/>
  <c r="D32" i="1"/>
  <c r="D39" i="1"/>
  <c r="C39" i="1"/>
  <c r="B40" i="1"/>
  <c r="D51" i="1"/>
  <c r="C51" i="1"/>
  <c r="B52" i="1"/>
  <c r="H52" i="1"/>
  <c r="I51" i="1"/>
  <c r="I86" i="1"/>
  <c r="H87" i="1"/>
  <c r="I37" i="1"/>
  <c r="H38" i="1"/>
  <c r="I36" i="1"/>
  <c r="I5" i="1"/>
  <c r="I29" i="1"/>
  <c r="H30" i="1"/>
  <c r="H11" i="1"/>
  <c r="I10" i="1"/>
  <c r="H240" i="1" l="1"/>
  <c r="I240" i="1" s="1"/>
  <c r="I239" i="1"/>
  <c r="D238" i="1"/>
  <c r="C238" i="1"/>
  <c r="B239" i="1"/>
  <c r="B240" i="1" s="1"/>
  <c r="C240" i="1" s="1"/>
  <c r="H190" i="1"/>
  <c r="I190" i="1" s="1"/>
  <c r="I189" i="1"/>
  <c r="C189" i="1"/>
  <c r="B190" i="1"/>
  <c r="D189" i="1"/>
  <c r="B105" i="1"/>
  <c r="D104" i="1"/>
  <c r="C104" i="1"/>
  <c r="I104" i="1"/>
  <c r="H105" i="1"/>
  <c r="I105" i="1" s="1"/>
  <c r="C227" i="1"/>
  <c r="B228" i="1"/>
  <c r="D227" i="1"/>
  <c r="H174" i="1"/>
  <c r="I173" i="1"/>
  <c r="H167" i="1"/>
  <c r="I167" i="1" s="1"/>
  <c r="I166" i="1"/>
  <c r="B177" i="1"/>
  <c r="C176" i="1"/>
  <c r="D176" i="1"/>
  <c r="B15" i="1"/>
  <c r="D14" i="1"/>
  <c r="C14" i="1"/>
  <c r="C40" i="1"/>
  <c r="D40" i="1"/>
  <c r="B41" i="1"/>
  <c r="D52" i="1"/>
  <c r="C52" i="1"/>
  <c r="B53" i="1"/>
  <c r="I52" i="1"/>
  <c r="H53" i="1"/>
  <c r="H88" i="1"/>
  <c r="I87" i="1"/>
  <c r="H31" i="1"/>
  <c r="I30" i="1"/>
  <c r="H39" i="1"/>
  <c r="I38" i="1"/>
  <c r="I11" i="1"/>
  <c r="H12" i="1"/>
  <c r="D239" i="1" l="1"/>
  <c r="C239" i="1"/>
  <c r="D190" i="1"/>
  <c r="C190" i="1"/>
  <c r="D105" i="1"/>
  <c r="C105" i="1"/>
  <c r="C228" i="1"/>
  <c r="B229" i="1"/>
  <c r="D228" i="1"/>
  <c r="H175" i="1"/>
  <c r="I174" i="1"/>
  <c r="B178" i="1"/>
  <c r="D177" i="1"/>
  <c r="C177" i="1"/>
  <c r="D15" i="1"/>
  <c r="B16" i="1"/>
  <c r="C15" i="1"/>
  <c r="D41" i="1"/>
  <c r="B42" i="1"/>
  <c r="C41" i="1"/>
  <c r="C53" i="1"/>
  <c r="B54" i="1"/>
  <c r="D53" i="1"/>
  <c r="H54" i="1"/>
  <c r="I53" i="1"/>
  <c r="I88" i="1"/>
  <c r="H89" i="1"/>
  <c r="H40" i="1"/>
  <c r="H41" i="1" s="1"/>
  <c r="I39" i="1"/>
  <c r="I31" i="1"/>
  <c r="H32" i="1"/>
  <c r="H13" i="1"/>
  <c r="I12" i="1"/>
  <c r="D3" i="1"/>
  <c r="C3" i="1"/>
  <c r="D240" i="1" l="1"/>
  <c r="D229" i="1"/>
  <c r="C229" i="1"/>
  <c r="H176" i="1"/>
  <c r="I175" i="1"/>
  <c r="D178" i="1"/>
  <c r="C178" i="1"/>
  <c r="B179" i="1"/>
  <c r="C16" i="1"/>
  <c r="B17" i="1"/>
  <c r="D16" i="1"/>
  <c r="D42" i="1"/>
  <c r="B43" i="1"/>
  <c r="C42" i="1"/>
  <c r="B55" i="1"/>
  <c r="C54" i="1"/>
  <c r="D54" i="1"/>
  <c r="B78" i="1"/>
  <c r="I54" i="1"/>
  <c r="H55" i="1"/>
  <c r="I41" i="1"/>
  <c r="H42" i="1"/>
  <c r="I89" i="1"/>
  <c r="H90" i="1"/>
  <c r="H91" i="1" s="1"/>
  <c r="I32" i="1"/>
  <c r="I40" i="1"/>
  <c r="I13" i="1"/>
  <c r="H14" i="1"/>
  <c r="C34" i="1"/>
  <c r="C27" i="1"/>
  <c r="I91" i="1" l="1"/>
  <c r="H92" i="1"/>
  <c r="I176" i="1"/>
  <c r="H177" i="1"/>
  <c r="D179" i="1"/>
  <c r="C179" i="1"/>
  <c r="B79" i="1"/>
  <c r="C78" i="1"/>
  <c r="D78" i="1"/>
  <c r="D17" i="1"/>
  <c r="B18" i="1"/>
  <c r="C17" i="1"/>
  <c r="B44" i="1"/>
  <c r="D43" i="1"/>
  <c r="C43" i="1"/>
  <c r="D55" i="1"/>
  <c r="C55" i="1"/>
  <c r="C77" i="1"/>
  <c r="D77" i="1"/>
  <c r="I55" i="1"/>
  <c r="I90" i="1"/>
  <c r="I42" i="1"/>
  <c r="H43" i="1"/>
  <c r="H15" i="1"/>
  <c r="I14" i="1"/>
  <c r="H93" i="1" l="1"/>
  <c r="I92" i="1"/>
  <c r="H178" i="1"/>
  <c r="I177" i="1"/>
  <c r="B80" i="1"/>
  <c r="D79" i="1"/>
  <c r="C79" i="1"/>
  <c r="D18" i="1"/>
  <c r="C18" i="1"/>
  <c r="B19" i="1"/>
  <c r="C44" i="1"/>
  <c r="D44" i="1"/>
  <c r="H80" i="1"/>
  <c r="I43" i="1"/>
  <c r="H44" i="1"/>
  <c r="I15" i="1"/>
  <c r="H16" i="1"/>
  <c r="I93" i="1" l="1"/>
  <c r="H94" i="1"/>
  <c r="I94" i="1" s="1"/>
  <c r="H179" i="1"/>
  <c r="I179" i="1" s="1"/>
  <c r="I178" i="1"/>
  <c r="B85" i="1"/>
  <c r="D84" i="1"/>
  <c r="C84" i="1"/>
  <c r="B81" i="1"/>
  <c r="C80" i="1"/>
  <c r="D80" i="1"/>
  <c r="D19" i="1"/>
  <c r="C19" i="1"/>
  <c r="I80" i="1"/>
  <c r="H81" i="1"/>
  <c r="I44" i="1"/>
  <c r="I16" i="1"/>
  <c r="H17" i="1"/>
  <c r="D162" i="1" l="1"/>
  <c r="C162" i="1"/>
  <c r="B163" i="1"/>
  <c r="B86" i="1"/>
  <c r="D85" i="1"/>
  <c r="C85" i="1"/>
  <c r="B82" i="1"/>
  <c r="D81" i="1"/>
  <c r="C81" i="1"/>
  <c r="H82" i="1"/>
  <c r="I81" i="1"/>
  <c r="I17" i="1"/>
  <c r="H18" i="1"/>
  <c r="D86" i="1" l="1"/>
  <c r="C86" i="1"/>
  <c r="B87" i="1"/>
  <c r="B164" i="1"/>
  <c r="C163" i="1"/>
  <c r="D163" i="1"/>
  <c r="C82" i="1"/>
  <c r="D82" i="1"/>
  <c r="I82" i="1"/>
  <c r="I18" i="1"/>
  <c r="H19" i="1"/>
  <c r="C169" i="1"/>
  <c r="B165" i="1" l="1"/>
  <c r="D164" i="1"/>
  <c r="C164" i="1"/>
  <c r="D87" i="1"/>
  <c r="C87" i="1"/>
  <c r="B88" i="1"/>
  <c r="I19" i="1"/>
  <c r="D88" i="1" l="1"/>
  <c r="C88" i="1"/>
  <c r="B89" i="1"/>
  <c r="B166" i="1"/>
  <c r="C165" i="1"/>
  <c r="D165" i="1"/>
  <c r="B167" i="1" l="1"/>
  <c r="D166" i="1"/>
  <c r="C166" i="1"/>
  <c r="D89" i="1"/>
  <c r="C89" i="1"/>
  <c r="B90" i="1"/>
  <c r="B91" i="1" s="1"/>
  <c r="C91" i="1" l="1"/>
  <c r="B92" i="1"/>
  <c r="D91" i="1"/>
  <c r="D90" i="1"/>
  <c r="C90" i="1"/>
  <c r="D167" i="1"/>
  <c r="C167" i="1"/>
  <c r="C92" i="1" l="1"/>
  <c r="B93" i="1"/>
  <c r="D92" i="1"/>
  <c r="D93" i="1" l="1"/>
  <c r="C93" i="1"/>
  <c r="B94" i="1"/>
  <c r="D94" i="1" l="1"/>
  <c r="C94" i="1"/>
</calcChain>
</file>

<file path=xl/sharedStrings.xml><?xml version="1.0" encoding="utf-8"?>
<sst xmlns="http://schemas.openxmlformats.org/spreadsheetml/2006/main" count="417" uniqueCount="135">
  <si>
    <t>Code</t>
  </si>
  <si>
    <t>Description</t>
  </si>
  <si>
    <t>Binary</t>
  </si>
  <si>
    <t>Hex</t>
  </si>
  <si>
    <t>NULL</t>
  </si>
  <si>
    <t>No action</t>
  </si>
  <si>
    <t>Step No.</t>
  </si>
  <si>
    <t>Comments</t>
  </si>
  <si>
    <t>C</t>
  </si>
  <si>
    <t>EQ</t>
  </si>
  <si>
    <t>IRQ</t>
  </si>
  <si>
    <t>Jump to Interrupt location held in IV</t>
  </si>
  <si>
    <t>IR is always set to 1 when IRQ active.</t>
  </si>
  <si>
    <t>PC_OUT,MEM_OUT,IR_IN,IR_SET</t>
  </si>
  <si>
    <t>PC_OUT,MEM_OUT,IR_IN</t>
  </si>
  <si>
    <t>PC_SET</t>
  </si>
  <si>
    <t>MP_OUT,MEM_OUT,REGA_IN</t>
  </si>
  <si>
    <t>MP_OUT,MEM_OUT,REGA_IN,REGA_SET</t>
  </si>
  <si>
    <t>Load IR with next instruction</t>
  </si>
  <si>
    <t>Load lower MP with value from MEM</t>
  </si>
  <si>
    <t>PC_SET,CLK_CLR</t>
  </si>
  <si>
    <t>Load upper MP with value from MEM</t>
  </si>
  <si>
    <t>Load REG-A with data from MEM pointered to by MP</t>
  </si>
  <si>
    <t>MOV n,REGA</t>
  </si>
  <si>
    <t>Inc PC to next instruction and clear clock</t>
  </si>
  <si>
    <t>Increment PC</t>
  </si>
  <si>
    <t>Move value after Instruction to REGA</t>
  </si>
  <si>
    <t>PC_OUT,MEM_OUT,REGA_IN</t>
  </si>
  <si>
    <t>Increment PC to next instruction and clear clock</t>
  </si>
  <si>
    <t>Move value pointed to by the address after instruction to REGB</t>
  </si>
  <si>
    <t>MOV MEM(nn),REGA</t>
  </si>
  <si>
    <t>MOV MEM(nn),REGB</t>
  </si>
  <si>
    <t>Move value after Instruction to REGB</t>
  </si>
  <si>
    <t>Move value pointed to by the address after instruction to REGA</t>
  </si>
  <si>
    <t>MOV REGA,MEM(nn)</t>
  </si>
  <si>
    <t>Move value in REGA to the memory location pointed to by the address after instruction</t>
  </si>
  <si>
    <t>MP_OUT,REGA_OUT,MEM_IN</t>
  </si>
  <si>
    <t>Instr No.</t>
  </si>
  <si>
    <t>Actions</t>
  </si>
  <si>
    <t>SP_INC</t>
  </si>
  <si>
    <t>IRQSUP_SET</t>
  </si>
  <si>
    <t>PCL_OUT,SP_OUT,MEM_IN</t>
  </si>
  <si>
    <t>IVH_OUT,PCH_IN</t>
  </si>
  <si>
    <t>IVH_OUT,PCH_IN,PCH_SET</t>
  </si>
  <si>
    <t>IVL_OUT,PCL_IN,PCL_SET</t>
  </si>
  <si>
    <t>PCH_OUT,SP_OUT,MEM_IN</t>
  </si>
  <si>
    <t>PC_OUT,MEM_OUT,REGA_IN,REGA_SET</t>
  </si>
  <si>
    <t>PC_OUT,MEM_OUT,MPH_IN</t>
  </si>
  <si>
    <t>PC_OUT,MEM_OUT,MPH_IN,MPH_SET</t>
  </si>
  <si>
    <t>PC_OUT,MEM_OUT,MPL_IN</t>
  </si>
  <si>
    <t>PC_OUT,MEM_OUT,MPH_IN,MPL_SET</t>
  </si>
  <si>
    <t>PC_OUT,MEM_OUT,REGB_IN</t>
  </si>
  <si>
    <t>Move value in REGB to the memory location pointed to by the address after instruction</t>
  </si>
  <si>
    <t>MP_OUT,REGB_OUT,MEM_IN</t>
  </si>
  <si>
    <t>Load REGA with data from MEM pointered to by MP</t>
  </si>
  <si>
    <t>Load REGB with data from MEM pointered to by MP</t>
  </si>
  <si>
    <t>PC_OUT,MEM_OUT,REGB_IN,REGB_SET</t>
  </si>
  <si>
    <t>MP_OUT,MEM_OUT,REGB_IN</t>
  </si>
  <si>
    <t>MP_OUT,MEM_OUT,REGB_IN,REGB_SET</t>
  </si>
  <si>
    <t>PC_OUT,MEM_OUT,MPL_IN,MPL_SET</t>
  </si>
  <si>
    <t>MOV n,REGS</t>
  </si>
  <si>
    <t>MOV M(nn),REGS</t>
  </si>
  <si>
    <t>MOV REGS,MEM(nn)</t>
  </si>
  <si>
    <t>MOV n,FLAGS</t>
  </si>
  <si>
    <t>MOV M(nn),FLAGS</t>
  </si>
  <si>
    <t>MOV FLAGS,MEM(nn)</t>
  </si>
  <si>
    <t>MOV n,REGC</t>
  </si>
  <si>
    <t>MOV MEM(nn),REGC</t>
  </si>
  <si>
    <t>MOV REGC, MEM(nn)</t>
  </si>
  <si>
    <t>MOV n,REGF</t>
  </si>
  <si>
    <t>MOV MEM(nn),REGF</t>
  </si>
  <si>
    <t>MOV REGF,MEM(nn)</t>
  </si>
  <si>
    <t>MOV REGA,REGB</t>
  </si>
  <si>
    <t>MOV REGA,REGC</t>
  </si>
  <si>
    <t>MOV REGA,REGS</t>
  </si>
  <si>
    <t>MOV REGA,FLAGS</t>
  </si>
  <si>
    <t>MOV REGA,REGF</t>
  </si>
  <si>
    <t>MOV REGB,REGA</t>
  </si>
  <si>
    <t>MOV REGB,REGC</t>
  </si>
  <si>
    <t>MOV REGB,REGS</t>
  </si>
  <si>
    <t>MOV REGB,FLAGS</t>
  </si>
  <si>
    <t>MOV REGB,REGF</t>
  </si>
  <si>
    <t>MOV REGC,REGA</t>
  </si>
  <si>
    <t>MOV REGC,REGB</t>
  </si>
  <si>
    <t>MOV REGC,REGS</t>
  </si>
  <si>
    <t>MOV REGC,FLAGS</t>
  </si>
  <si>
    <t>MOV REGC, REGF</t>
  </si>
  <si>
    <t>MOV REGS,REGA</t>
  </si>
  <si>
    <t>MOV REGS,REGB</t>
  </si>
  <si>
    <t>MOV REGS,REGC</t>
  </si>
  <si>
    <t>MOV REGS,FLAGS</t>
  </si>
  <si>
    <t>MOV REGS,REGF</t>
  </si>
  <si>
    <t>MOV FLAGS,REGA</t>
  </si>
  <si>
    <t>MOV FLAGS,REGB</t>
  </si>
  <si>
    <t>MOV FLAGS,REGC</t>
  </si>
  <si>
    <t>MOV FLAGS,REGS</t>
  </si>
  <si>
    <t>MOV FLAGS,REGF</t>
  </si>
  <si>
    <t>EXE</t>
  </si>
  <si>
    <t>Execution function in ALU output to REGC and REGF</t>
  </si>
  <si>
    <t>REGC_IN,REGF_IN</t>
  </si>
  <si>
    <t>REGC_IN,REGF_IN,REGC_SET,REGF_SET</t>
  </si>
  <si>
    <t>PC_OUT,MEM_OUT,FLAGS_IN</t>
  </si>
  <si>
    <t>PC_OUT,MEM_OUT,FLAGS_IN,FLAGS_SET</t>
  </si>
  <si>
    <t>MP_OUT,MEM_OUT,FLAGS_IN</t>
  </si>
  <si>
    <t>MP_OUT,MEM_OUT,FLAGS_IN,FLAGS_SET</t>
  </si>
  <si>
    <t>MP_OUT,REGS_OUT,MEM_IN</t>
  </si>
  <si>
    <t>MP_OUT,MEM_OUT,REGS_IN</t>
  </si>
  <si>
    <t>MP_OUT,FLAGS_OUT,MEM_IN</t>
  </si>
  <si>
    <t>Move FLAGS to MEM pointered to by MP</t>
  </si>
  <si>
    <t>PC_OUT,MEM_OUT,REGC_IN</t>
  </si>
  <si>
    <t>PC_OUT,MEM_OUT,REGC_IN,REGB_SET</t>
  </si>
  <si>
    <t>Move value in FLAGS to the memory location pointed to by the address after instruction</t>
  </si>
  <si>
    <t>Move value pointed to by the address after instruction to FLAGS</t>
  </si>
  <si>
    <t>Move value after Instruction to FLAGS</t>
  </si>
  <si>
    <t>Move value after Instruction to REGS</t>
  </si>
  <si>
    <t>PC_OUT,MEM_OUT,REGS_IN</t>
  </si>
  <si>
    <t>MP_OUT,MEM_OUT,REGS_IN,REGS_SET</t>
  </si>
  <si>
    <t>MOV n,REGB</t>
  </si>
  <si>
    <t>MOV REGB,MEM(nn)</t>
  </si>
  <si>
    <t>MOV REGF,REGA</t>
  </si>
  <si>
    <t>MOV REGF,REGB</t>
  </si>
  <si>
    <t>MOV REGF,REGC</t>
  </si>
  <si>
    <t>MOV REGF,REGS</t>
  </si>
  <si>
    <t>MOV REGF,REGF</t>
  </si>
  <si>
    <t>Move value in REGB to REGA</t>
  </si>
  <si>
    <t>Move value in REGB to REGC</t>
  </si>
  <si>
    <t>Move value in REGB to REGS</t>
  </si>
  <si>
    <t>Move value in REGB to REGF</t>
  </si>
  <si>
    <t>Move value in REGB to FLAGS</t>
  </si>
  <si>
    <t>Move value after Instruction to REGC</t>
  </si>
  <si>
    <t>Move value after Instruction to REGF</t>
  </si>
  <si>
    <t>Move value pointed to by the address after instruction to REGF</t>
  </si>
  <si>
    <t>Move value in REGS to the memory location pointed to by the address after instruction</t>
  </si>
  <si>
    <t>Move value pointed to by the address after instruction to REGS</t>
  </si>
  <si>
    <t>PC_OUT,MEM_OUT,REGS_IN,REGS_SET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</si>
</sst>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5" tint="0.599963377788628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100">
    <xf numFmtId="0" fontId="0" fillId="0" borderId="0" xfId="0"/>
    <xf numFmtId="0" fontId="0" fillId="0" borderId="0" xfId="0" applyFont="1"/>
    <xf numFmtId="1" fontId="0" fillId="0" borderId="0" xfId="0" applyNumberFormat="1" applyAlignment="1">
      <alignment horizontal="right"/>
    </xf>
    <xf numFmtId="1" fontId="0" fillId="0" borderId="0" xfId="0" applyNumberFormat="1"/>
    <xf numFmtId="164" fontId="0" fillId="0" borderId="0" xfId="0" applyNumberFormat="1" applyAlignment="1">
      <alignment horizontal="right"/>
    </xf>
    <xf numFmtId="0" fontId="0" fillId="0" borderId="0" xfId="0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0" fillId="0" borderId="0" xfId="0" applyAlignment="1">
      <alignment horizontal="right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Font="1" applyAlignment="1">
      <alignment horizontal="right"/>
    </xf>
    <xf numFmtId="0" fontId="0" fillId="0" borderId="0" xfId="0" applyFont="1" applyFill="1" applyBorder="1"/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3" applyFill="1"/>
    <xf numFmtId="164" fontId="3" fillId="0" borderId="0" xfId="2" applyNumberFormat="1" applyFill="1" applyAlignment="1">
      <alignment horizontal="right"/>
    </xf>
    <xf numFmtId="1" fontId="3" fillId="0" borderId="0" xfId="2" applyNumberFormat="1" applyFill="1" applyAlignment="1">
      <alignment horizontal="right"/>
    </xf>
    <xf numFmtId="0" fontId="3" fillId="0" borderId="0" xfId="2" applyFill="1"/>
    <xf numFmtId="0" fontId="3" fillId="0" borderId="0" xfId="2" applyFill="1" applyAlignment="1">
      <alignment horizontal="center" vertical="center"/>
    </xf>
    <xf numFmtId="164" fontId="2" fillId="0" borderId="0" xfId="1" applyNumberFormat="1" applyFill="1" applyAlignment="1">
      <alignment horizontal="right"/>
    </xf>
    <xf numFmtId="1" fontId="2" fillId="0" borderId="0" xfId="1" applyNumberFormat="1" applyFill="1" applyAlignment="1">
      <alignment horizontal="right"/>
    </xf>
    <xf numFmtId="0" fontId="2" fillId="0" borderId="0" xfId="1" applyFill="1"/>
    <xf numFmtId="0" fontId="2" fillId="0" borderId="0" xfId="1" applyFill="1" applyAlignment="1">
      <alignment horizontal="center" vertical="center"/>
    </xf>
    <xf numFmtId="0" fontId="0" fillId="0" borderId="0" xfId="0" applyFill="1"/>
    <xf numFmtId="1" fontId="0" fillId="0" borderId="0" xfId="0" applyNumberFormat="1" applyFill="1" applyAlignment="1">
      <alignment horizontal="right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top"/>
    </xf>
    <xf numFmtId="1" fontId="0" fillId="0" borderId="0" xfId="0" applyNumberFormat="1" applyFill="1" applyAlignment="1">
      <alignment horizontal="left" vertical="top"/>
    </xf>
    <xf numFmtId="0" fontId="2" fillId="0" borderId="0" xfId="1" applyFill="1" applyAlignment="1">
      <alignment horizontal="left" vertical="top" wrapText="1"/>
    </xf>
    <xf numFmtId="0" fontId="2" fillId="0" borderId="0" xfId="1" applyFill="1" applyAlignment="1">
      <alignment horizontal="center" vertical="center" wrapText="1"/>
    </xf>
    <xf numFmtId="0" fontId="3" fillId="0" borderId="0" xfId="2" applyFill="1" applyAlignment="1">
      <alignment horizontal="left" vertical="top" wrapText="1"/>
    </xf>
    <xf numFmtId="0" fontId="3" fillId="0" borderId="0" xfId="2" applyFill="1" applyAlignment="1">
      <alignment horizontal="center" vertical="center" wrapText="1"/>
    </xf>
    <xf numFmtId="0" fontId="4" fillId="0" borderId="0" xfId="3" applyFill="1" applyAlignment="1">
      <alignment horizontal="left" vertical="top" wrapText="1"/>
    </xf>
    <xf numFmtId="0" fontId="4" fillId="0" borderId="0" xfId="3" applyFill="1" applyAlignment="1">
      <alignment horizontal="center" vertical="center" wrapText="1"/>
    </xf>
    <xf numFmtId="0" fontId="2" fillId="0" borderId="0" xfId="1" applyFill="1" applyAlignment="1">
      <alignment horizontal="right"/>
    </xf>
    <xf numFmtId="0" fontId="3" fillId="0" borderId="0" xfId="2" applyFill="1" applyAlignment="1">
      <alignment horizontal="right"/>
    </xf>
    <xf numFmtId="1" fontId="0" fillId="0" borderId="0" xfId="0" applyNumberFormat="1" applyAlignment="1">
      <alignment horizontal="right" vertical="center"/>
    </xf>
    <xf numFmtId="1" fontId="0" fillId="0" borderId="0" xfId="0" applyNumberFormat="1" applyFill="1" applyAlignment="1">
      <alignment horizontal="right" vertical="center"/>
    </xf>
    <xf numFmtId="0" fontId="2" fillId="0" borderId="0" xfId="1" applyFill="1" applyAlignment="1">
      <alignment horizontal="right" vertical="center"/>
    </xf>
    <xf numFmtId="0" fontId="3" fillId="0" borderId="0" xfId="2" applyFill="1" applyAlignment="1">
      <alignment horizontal="right" vertical="center"/>
    </xf>
    <xf numFmtId="0" fontId="0" fillId="0" borderId="0" xfId="0" applyAlignment="1">
      <alignment horizontal="right" vertical="center"/>
    </xf>
    <xf numFmtId="1" fontId="2" fillId="0" borderId="0" xfId="1" applyNumberFormat="1" applyFill="1" applyAlignment="1">
      <alignment horizontal="right" vertical="center"/>
    </xf>
    <xf numFmtId="1" fontId="3" fillId="0" borderId="0" xfId="2" applyNumberFormat="1" applyFill="1" applyAlignment="1">
      <alignment horizontal="right" vertical="center"/>
    </xf>
    <xf numFmtId="0" fontId="5" fillId="0" borderId="0" xfId="3" applyFont="1" applyFill="1"/>
    <xf numFmtId="1" fontId="5" fillId="0" borderId="0" xfId="2" applyNumberFormat="1" applyFont="1" applyFill="1" applyAlignment="1">
      <alignment horizontal="right" vertical="center"/>
    </xf>
    <xf numFmtId="164" fontId="5" fillId="0" borderId="0" xfId="2" applyNumberFormat="1" applyFont="1" applyFill="1" applyAlignment="1">
      <alignment horizontal="right"/>
    </xf>
    <xf numFmtId="1" fontId="5" fillId="0" borderId="0" xfId="2" applyNumberFormat="1" applyFont="1" applyFill="1" applyAlignment="1">
      <alignment horizontal="right"/>
    </xf>
    <xf numFmtId="0" fontId="5" fillId="0" borderId="0" xfId="2" applyFont="1" applyFill="1"/>
    <xf numFmtId="0" fontId="5" fillId="0" borderId="0" xfId="2" applyFont="1" applyFill="1" applyAlignment="1">
      <alignment horizontal="center" vertical="center"/>
    </xf>
    <xf numFmtId="0" fontId="5" fillId="0" borderId="0" xfId="0" applyFont="1"/>
    <xf numFmtId="1" fontId="5" fillId="0" borderId="0" xfId="1" applyNumberFormat="1" applyFont="1" applyFill="1" applyAlignment="1">
      <alignment horizontal="right" vertical="center"/>
    </xf>
    <xf numFmtId="164" fontId="5" fillId="0" borderId="0" xfId="1" applyNumberFormat="1" applyFont="1" applyFill="1" applyAlignment="1">
      <alignment horizontal="right"/>
    </xf>
    <xf numFmtId="1" fontId="5" fillId="0" borderId="0" xfId="1" applyNumberFormat="1" applyFont="1" applyFill="1" applyAlignment="1">
      <alignment horizontal="right"/>
    </xf>
    <xf numFmtId="0" fontId="5" fillId="0" borderId="0" xfId="1" applyFont="1" applyFill="1"/>
    <xf numFmtId="0" fontId="5" fillId="0" borderId="0" xfId="1" applyFont="1" applyFill="1" applyAlignment="1">
      <alignment horizontal="center" vertical="center"/>
    </xf>
    <xf numFmtId="1" fontId="5" fillId="0" borderId="0" xfId="0" applyNumberFormat="1" applyFont="1" applyFill="1" applyAlignment="1">
      <alignment horizontal="right" vertical="center"/>
    </xf>
    <xf numFmtId="0" fontId="5" fillId="0" borderId="0" xfId="0" applyFont="1" applyFill="1"/>
    <xf numFmtId="1" fontId="5" fillId="0" borderId="0" xfId="0" applyNumberFormat="1" applyFont="1" applyFill="1" applyAlignment="1">
      <alignment horizontal="right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top"/>
    </xf>
    <xf numFmtId="1" fontId="5" fillId="0" borderId="0" xfId="0" applyNumberFormat="1" applyFont="1" applyFill="1" applyAlignment="1">
      <alignment horizontal="left" vertical="top"/>
    </xf>
    <xf numFmtId="0" fontId="5" fillId="0" borderId="0" xfId="1" applyFont="1" applyFill="1" applyAlignment="1">
      <alignment horizontal="left" vertical="top" wrapText="1"/>
    </xf>
    <xf numFmtId="0" fontId="5" fillId="0" borderId="0" xfId="1" applyFont="1" applyFill="1" applyAlignment="1">
      <alignment horizontal="center" vertical="center" wrapText="1"/>
    </xf>
    <xf numFmtId="0" fontId="5" fillId="0" borderId="0" xfId="0" applyFont="1" applyAlignment="1">
      <alignment horizontal="left" vertical="top"/>
    </xf>
    <xf numFmtId="0" fontId="5" fillId="0" borderId="0" xfId="2" applyFont="1" applyFill="1" applyAlignment="1">
      <alignment horizontal="left" vertical="top" wrapText="1"/>
    </xf>
    <xf numFmtId="0" fontId="5" fillId="0" borderId="0" xfId="2" applyFont="1" applyFill="1" applyAlignment="1">
      <alignment horizontal="center" vertical="center" wrapText="1"/>
    </xf>
    <xf numFmtId="0" fontId="5" fillId="0" borderId="0" xfId="3" applyFont="1" applyFill="1" applyAlignment="1">
      <alignment horizontal="left" vertical="top" wrapText="1"/>
    </xf>
    <xf numFmtId="0" fontId="5" fillId="0" borderId="0" xfId="3" applyFont="1" applyFill="1" applyAlignment="1">
      <alignment horizontal="center" vertical="center" wrapText="1"/>
    </xf>
    <xf numFmtId="1" fontId="5" fillId="0" borderId="0" xfId="0" applyNumberFormat="1" applyFont="1" applyAlignment="1">
      <alignment horizontal="right" vertical="center"/>
    </xf>
    <xf numFmtId="1" fontId="5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0" fontId="0" fillId="5" borderId="0" xfId="0" applyFill="1"/>
    <xf numFmtId="1" fontId="0" fillId="5" borderId="0" xfId="0" applyNumberFormat="1" applyFill="1"/>
    <xf numFmtId="164" fontId="0" fillId="5" borderId="0" xfId="0" applyNumberFormat="1" applyFill="1" applyAlignment="1">
      <alignment horizontal="right"/>
    </xf>
    <xf numFmtId="1" fontId="0" fillId="5" borderId="0" xfId="0" applyNumberFormat="1" applyFill="1" applyAlignment="1">
      <alignment horizontal="right"/>
    </xf>
    <xf numFmtId="0" fontId="0" fillId="5" borderId="0" xfId="0" applyFont="1" applyFill="1"/>
    <xf numFmtId="0" fontId="0" fillId="5" borderId="0" xfId="0" applyFont="1" applyFill="1" applyAlignment="1">
      <alignment horizontal="center" vertical="center"/>
    </xf>
    <xf numFmtId="0" fontId="5" fillId="5" borderId="0" xfId="3" applyFont="1" applyFill="1"/>
    <xf numFmtId="1" fontId="5" fillId="5" borderId="0" xfId="2" applyNumberFormat="1" applyFont="1" applyFill="1" applyAlignment="1">
      <alignment horizontal="right" vertical="center"/>
    </xf>
    <xf numFmtId="0" fontId="5" fillId="5" borderId="0" xfId="2" applyFont="1" applyFill="1"/>
    <xf numFmtId="0" fontId="5" fillId="5" borderId="0" xfId="2" applyFont="1" applyFill="1" applyAlignment="1">
      <alignment horizontal="center" vertical="center"/>
    </xf>
    <xf numFmtId="0" fontId="0" fillId="5" borderId="0" xfId="0" applyFont="1" applyFill="1" applyBorder="1"/>
    <xf numFmtId="0" fontId="5" fillId="5" borderId="0" xfId="0" applyFont="1" applyFill="1"/>
    <xf numFmtId="1" fontId="5" fillId="5" borderId="0" xfId="1" applyNumberFormat="1" applyFont="1" applyFill="1" applyAlignment="1">
      <alignment horizontal="right" vertical="center"/>
    </xf>
    <xf numFmtId="0" fontId="5" fillId="5" borderId="0" xfId="1" applyFont="1" applyFill="1"/>
    <xf numFmtId="0" fontId="5" fillId="5" borderId="0" xfId="1" applyFont="1" applyFill="1" applyAlignment="1">
      <alignment horizontal="center" vertical="center"/>
    </xf>
    <xf numFmtId="0" fontId="1" fillId="6" borderId="1" xfId="0" applyFont="1" applyFill="1" applyBorder="1" applyProtection="1"/>
    <xf numFmtId="0" fontId="1" fillId="6" borderId="1" xfId="0" applyFont="1" applyFill="1" applyBorder="1" applyAlignment="1" applyProtection="1">
      <alignment horizontal="center"/>
    </xf>
    <xf numFmtId="49" fontId="1" fillId="6" borderId="1" xfId="0" applyNumberFormat="1" applyFont="1" applyFill="1" applyBorder="1" applyAlignment="1" applyProtection="1">
      <alignment horizontal="center"/>
    </xf>
    <xf numFmtId="0" fontId="1" fillId="6" borderId="1" xfId="0" applyFont="1" applyFill="1" applyBorder="1" applyAlignment="1" applyProtection="1">
      <alignment horizontal="center" vertical="center"/>
    </xf>
    <xf numFmtId="0" fontId="1" fillId="6" borderId="0" xfId="0" applyFont="1" applyFill="1" applyBorder="1" applyProtection="1"/>
    <xf numFmtId="0" fontId="1" fillId="6" borderId="0" xfId="0" applyFont="1" applyFill="1" applyBorder="1" applyAlignment="1" applyProtection="1">
      <alignment horizontal="center"/>
    </xf>
    <xf numFmtId="49" fontId="1" fillId="6" borderId="0" xfId="0" applyNumberFormat="1" applyFont="1" applyFill="1" applyBorder="1" applyAlignment="1" applyProtection="1">
      <alignment horizontal="center"/>
    </xf>
    <xf numFmtId="0" fontId="1" fillId="6" borderId="0" xfId="0" applyFont="1" applyFill="1" applyBorder="1" applyAlignment="1" applyProtection="1">
      <alignment horizontal="center" vertic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colors>
    <mruColors>
      <color rgb="FF22069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4"/>
  <sheetViews>
    <sheetView tabSelected="1" workbookViewId="0">
      <pane ySplit="1" topLeftCell="A134" activePane="bottomLeft" state="frozen"/>
      <selection pane="bottomLeft" activeCell="E173" sqref="E173"/>
    </sheetView>
  </sheetViews>
  <sheetFormatPr defaultRowHeight="15" x14ac:dyDescent="0.25"/>
  <cols>
    <col min="1" max="1" width="20" customWidth="1"/>
    <col min="2" max="2" width="12" customWidth="1"/>
    <col min="3" max="3" width="9.5703125" customWidth="1"/>
    <col min="4" max="4" width="5.5703125" style="2" customWidth="1"/>
    <col min="5" max="5" width="77.5703125" customWidth="1"/>
    <col min="6" max="7" width="6.28515625" style="13" customWidth="1"/>
    <col min="8" max="8" width="9.28515625" customWidth="1"/>
    <col min="9" max="9" width="6.5703125" customWidth="1"/>
    <col min="10" max="10" width="40" customWidth="1"/>
    <col min="11" max="11" width="48.28515625" customWidth="1"/>
    <col min="12" max="12" width="52.85546875" customWidth="1"/>
  </cols>
  <sheetData>
    <row r="1" spans="1:11" s="92" customFormat="1" x14ac:dyDescent="0.25">
      <c r="A1" s="92" t="s">
        <v>0</v>
      </c>
      <c r="B1" s="93" t="s">
        <v>37</v>
      </c>
      <c r="C1" s="93" t="s">
        <v>2</v>
      </c>
      <c r="D1" s="94" t="s">
        <v>3</v>
      </c>
      <c r="E1" s="92" t="s">
        <v>1</v>
      </c>
      <c r="F1" s="95" t="s">
        <v>8</v>
      </c>
      <c r="G1" s="95" t="s">
        <v>9</v>
      </c>
      <c r="H1" s="92" t="s">
        <v>6</v>
      </c>
      <c r="I1" s="92" t="s">
        <v>2</v>
      </c>
      <c r="J1" s="92" t="s">
        <v>38</v>
      </c>
      <c r="K1" s="92" t="s">
        <v>7</v>
      </c>
    </row>
    <row r="2" spans="1:11" s="96" customFormat="1" x14ac:dyDescent="0.25">
      <c r="B2" s="97"/>
      <c r="C2" s="97"/>
      <c r="D2" s="98"/>
      <c r="F2" s="99"/>
      <c r="G2" s="99"/>
    </row>
    <row r="3" spans="1:11" s="77" customFormat="1" x14ac:dyDescent="0.25">
      <c r="A3" s="77" t="s">
        <v>4</v>
      </c>
      <c r="B3" s="78">
        <v>0</v>
      </c>
      <c r="C3" s="79" t="str">
        <f t="shared" ref="C3:C34" si="0">TEXT(DEC2BIN(B3), "00000000")</f>
        <v>00000000</v>
      </c>
      <c r="D3" s="80" t="str">
        <f t="shared" ref="D3:D55" si="1">DEC2HEX(B3)</f>
        <v>0</v>
      </c>
      <c r="E3" s="81" t="s">
        <v>5</v>
      </c>
      <c r="F3" s="82"/>
      <c r="G3" s="82"/>
      <c r="H3" s="81">
        <v>0</v>
      </c>
      <c r="I3" s="79" t="str">
        <f>TEXT(DEC2BIN(H3), "00000")</f>
        <v>00000</v>
      </c>
      <c r="J3" s="81" t="s">
        <v>14</v>
      </c>
      <c r="K3" s="81" t="s">
        <v>18</v>
      </c>
    </row>
    <row r="4" spans="1:11" x14ac:dyDescent="0.25">
      <c r="B4" s="3">
        <f t="shared" ref="B4:B5" si="2">(B3)</f>
        <v>0</v>
      </c>
      <c r="C4" s="4" t="str">
        <f t="shared" si="0"/>
        <v>00000000</v>
      </c>
      <c r="D4" s="2" t="str">
        <f t="shared" si="1"/>
        <v>0</v>
      </c>
      <c r="E4" s="1"/>
      <c r="F4" s="12"/>
      <c r="G4" s="12"/>
      <c r="H4" s="1">
        <f>H3+1</f>
        <v>1</v>
      </c>
      <c r="I4" s="4" t="str">
        <f>TEXT(DEC2BIN(H4), "00000")</f>
        <v>00001</v>
      </c>
      <c r="J4" s="1" t="s">
        <v>13</v>
      </c>
      <c r="K4" s="1"/>
    </row>
    <row r="5" spans="1:11" x14ac:dyDescent="0.25">
      <c r="B5" s="3">
        <f t="shared" si="2"/>
        <v>0</v>
      </c>
      <c r="C5" s="4" t="str">
        <f t="shared" si="0"/>
        <v>00000000</v>
      </c>
      <c r="D5" s="2" t="str">
        <f t="shared" si="1"/>
        <v>0</v>
      </c>
      <c r="E5" s="1"/>
      <c r="F5" s="12"/>
      <c r="G5" s="12"/>
      <c r="H5" s="1">
        <f>H4+1</f>
        <v>2</v>
      </c>
      <c r="I5" s="4" t="str">
        <f>TEXT(DEC2BIN(H5), "00000")</f>
        <v>00010</v>
      </c>
      <c r="J5" s="1" t="s">
        <v>20</v>
      </c>
      <c r="K5" s="1" t="s">
        <v>28</v>
      </c>
    </row>
    <row r="6" spans="1:11" x14ac:dyDescent="0.25">
      <c r="B6" s="3"/>
      <c r="C6" s="4"/>
      <c r="E6" s="1"/>
      <c r="F6" s="12"/>
      <c r="G6" s="12"/>
      <c r="H6" s="1"/>
      <c r="I6" s="4"/>
      <c r="J6" s="1"/>
      <c r="K6" s="1"/>
    </row>
    <row r="7" spans="1:11" s="77" customFormat="1" x14ac:dyDescent="0.25">
      <c r="A7" s="77" t="s">
        <v>10</v>
      </c>
      <c r="B7" s="78">
        <v>1</v>
      </c>
      <c r="C7" s="79" t="str">
        <f t="shared" ref="C7" si="3">TEXT(DEC2BIN(B7), "00000000")</f>
        <v>00000001</v>
      </c>
      <c r="D7" s="80" t="str">
        <f t="shared" ref="D7" si="4">DEC2HEX(B7)</f>
        <v>1</v>
      </c>
      <c r="E7" s="81" t="s">
        <v>11</v>
      </c>
      <c r="F7" s="82"/>
      <c r="G7" s="82"/>
      <c r="H7" s="81">
        <v>0</v>
      </c>
      <c r="I7" s="79" t="str">
        <f t="shared" ref="I7:I22" si="5">TEXT(DEC2BIN(H7), "00000")</f>
        <v>00000</v>
      </c>
      <c r="J7" s="81" t="s">
        <v>14</v>
      </c>
      <c r="K7" s="81" t="s">
        <v>12</v>
      </c>
    </row>
    <row r="8" spans="1:11" x14ac:dyDescent="0.25">
      <c r="B8" s="3">
        <f t="shared" ref="B8:B19" si="6">(B7)</f>
        <v>1</v>
      </c>
      <c r="C8" s="4" t="str">
        <f t="shared" ref="C8:C19" si="7">TEXT(DEC2BIN(B8), "00000000")</f>
        <v>00000001</v>
      </c>
      <c r="D8" s="2" t="str">
        <f t="shared" ref="D8:D19" si="8">DEC2HEX(B8)</f>
        <v>1</v>
      </c>
      <c r="E8" s="1"/>
      <c r="F8" s="12"/>
      <c r="G8" s="12"/>
      <c r="H8" s="1">
        <f t="shared" ref="H8:H19" si="9">H7+1</f>
        <v>1</v>
      </c>
      <c r="I8" s="4" t="str">
        <f t="shared" si="5"/>
        <v>00001</v>
      </c>
      <c r="J8" s="1" t="s">
        <v>13</v>
      </c>
      <c r="K8" s="1"/>
    </row>
    <row r="9" spans="1:11" x14ac:dyDescent="0.25">
      <c r="B9" s="3">
        <f t="shared" si="6"/>
        <v>1</v>
      </c>
      <c r="C9" s="4" t="str">
        <f t="shared" si="7"/>
        <v>00000001</v>
      </c>
      <c r="D9" s="2" t="str">
        <f t="shared" si="8"/>
        <v>1</v>
      </c>
      <c r="E9" s="1"/>
      <c r="F9" s="12"/>
      <c r="G9" s="12"/>
      <c r="H9" s="1">
        <f t="shared" si="9"/>
        <v>2</v>
      </c>
      <c r="I9" s="4" t="str">
        <f t="shared" si="5"/>
        <v>00010</v>
      </c>
      <c r="J9" s="1" t="s">
        <v>40</v>
      </c>
      <c r="K9" s="1"/>
    </row>
    <row r="10" spans="1:11" x14ac:dyDescent="0.25">
      <c r="B10" s="3">
        <f t="shared" si="6"/>
        <v>1</v>
      </c>
      <c r="C10" s="4" t="str">
        <f t="shared" si="7"/>
        <v>00000001</v>
      </c>
      <c r="D10" s="2" t="str">
        <f t="shared" si="8"/>
        <v>1</v>
      </c>
      <c r="E10" s="1"/>
      <c r="F10" s="12"/>
      <c r="G10" s="12"/>
      <c r="H10" s="1">
        <f t="shared" si="9"/>
        <v>3</v>
      </c>
      <c r="I10" s="4" t="str">
        <f t="shared" si="5"/>
        <v>00011</v>
      </c>
      <c r="J10" s="1" t="s">
        <v>39</v>
      </c>
      <c r="K10" s="1"/>
    </row>
    <row r="11" spans="1:11" x14ac:dyDescent="0.25">
      <c r="B11" s="3">
        <f t="shared" si="6"/>
        <v>1</v>
      </c>
      <c r="C11" s="4" t="str">
        <f t="shared" si="7"/>
        <v>00000001</v>
      </c>
      <c r="D11" s="2" t="str">
        <f t="shared" si="8"/>
        <v>1</v>
      </c>
      <c r="E11" s="1"/>
      <c r="F11" s="12"/>
      <c r="G11" s="12"/>
      <c r="H11" s="1">
        <f t="shared" si="9"/>
        <v>4</v>
      </c>
      <c r="I11" s="4" t="str">
        <f t="shared" si="5"/>
        <v>00100</v>
      </c>
      <c r="J11" s="1" t="s">
        <v>45</v>
      </c>
      <c r="K11" s="1"/>
    </row>
    <row r="12" spans="1:11" x14ac:dyDescent="0.25">
      <c r="B12" s="3">
        <f t="shared" si="6"/>
        <v>1</v>
      </c>
      <c r="C12" s="4" t="str">
        <f t="shared" si="7"/>
        <v>00000001</v>
      </c>
      <c r="D12" s="2" t="str">
        <f t="shared" si="8"/>
        <v>1</v>
      </c>
      <c r="E12" s="1"/>
      <c r="F12" s="12"/>
      <c r="G12" s="12"/>
      <c r="H12" s="1">
        <f t="shared" si="9"/>
        <v>5</v>
      </c>
      <c r="I12" s="4" t="str">
        <f t="shared" si="5"/>
        <v>00101</v>
      </c>
      <c r="J12" s="1" t="s">
        <v>45</v>
      </c>
      <c r="K12" s="1"/>
    </row>
    <row r="13" spans="1:11" x14ac:dyDescent="0.25">
      <c r="B13" s="3">
        <f t="shared" si="6"/>
        <v>1</v>
      </c>
      <c r="C13" s="4" t="str">
        <f t="shared" si="7"/>
        <v>00000001</v>
      </c>
      <c r="D13" s="2" t="str">
        <f t="shared" si="8"/>
        <v>1</v>
      </c>
      <c r="E13" s="1"/>
      <c r="F13" s="12"/>
      <c r="G13" s="12"/>
      <c r="H13" s="1">
        <f t="shared" si="9"/>
        <v>6</v>
      </c>
      <c r="I13" s="4" t="str">
        <f t="shared" si="5"/>
        <v>00110</v>
      </c>
      <c r="J13" s="1" t="s">
        <v>39</v>
      </c>
      <c r="K13" s="1"/>
    </row>
    <row r="14" spans="1:11" x14ac:dyDescent="0.25">
      <c r="B14" s="3">
        <f t="shared" si="6"/>
        <v>1</v>
      </c>
      <c r="C14" s="4" t="str">
        <f t="shared" si="7"/>
        <v>00000001</v>
      </c>
      <c r="D14" s="2" t="str">
        <f t="shared" si="8"/>
        <v>1</v>
      </c>
      <c r="E14" s="1"/>
      <c r="F14" s="12"/>
      <c r="G14" s="12"/>
      <c r="H14" s="1">
        <f t="shared" si="9"/>
        <v>7</v>
      </c>
      <c r="I14" s="4" t="str">
        <f t="shared" si="5"/>
        <v>00111</v>
      </c>
      <c r="J14" s="1" t="s">
        <v>41</v>
      </c>
      <c r="K14" s="1"/>
    </row>
    <row r="15" spans="1:11" x14ac:dyDescent="0.25">
      <c r="B15" s="3">
        <f t="shared" si="6"/>
        <v>1</v>
      </c>
      <c r="C15" s="4" t="str">
        <f t="shared" si="7"/>
        <v>00000001</v>
      </c>
      <c r="D15" s="2" t="str">
        <f t="shared" si="8"/>
        <v>1</v>
      </c>
      <c r="E15" s="1"/>
      <c r="F15" s="12"/>
      <c r="G15" s="12"/>
      <c r="H15" s="1">
        <f t="shared" si="9"/>
        <v>8</v>
      </c>
      <c r="I15" s="4" t="str">
        <f t="shared" si="5"/>
        <v>01000</v>
      </c>
      <c r="J15" s="1" t="s">
        <v>42</v>
      </c>
      <c r="K15" s="1"/>
    </row>
    <row r="16" spans="1:11" x14ac:dyDescent="0.25">
      <c r="B16" s="3">
        <f t="shared" si="6"/>
        <v>1</v>
      </c>
      <c r="C16" s="4" t="str">
        <f t="shared" si="7"/>
        <v>00000001</v>
      </c>
      <c r="D16" s="2" t="str">
        <f t="shared" si="8"/>
        <v>1</v>
      </c>
      <c r="E16" s="1"/>
      <c r="F16" s="12"/>
      <c r="G16" s="12"/>
      <c r="H16" s="1">
        <f t="shared" si="9"/>
        <v>9</v>
      </c>
      <c r="I16" s="4" t="str">
        <f t="shared" si="5"/>
        <v>01001</v>
      </c>
      <c r="J16" s="1" t="s">
        <v>43</v>
      </c>
      <c r="K16" s="1"/>
    </row>
    <row r="17" spans="1:11" x14ac:dyDescent="0.25">
      <c r="B17" s="3">
        <f t="shared" si="6"/>
        <v>1</v>
      </c>
      <c r="C17" s="4" t="str">
        <f t="shared" si="7"/>
        <v>00000001</v>
      </c>
      <c r="D17" s="2" t="str">
        <f t="shared" si="8"/>
        <v>1</v>
      </c>
      <c r="E17" s="1"/>
      <c r="F17" s="12"/>
      <c r="G17" s="12"/>
      <c r="H17" s="1">
        <f t="shared" si="9"/>
        <v>10</v>
      </c>
      <c r="I17" s="4" t="str">
        <f t="shared" si="5"/>
        <v>01010</v>
      </c>
      <c r="J17" s="1" t="s">
        <v>44</v>
      </c>
      <c r="K17" s="1"/>
    </row>
    <row r="18" spans="1:11" x14ac:dyDescent="0.25">
      <c r="B18" s="3">
        <f t="shared" si="6"/>
        <v>1</v>
      </c>
      <c r="C18" s="4" t="str">
        <f t="shared" si="7"/>
        <v>00000001</v>
      </c>
      <c r="D18" s="2" t="str">
        <f t="shared" si="8"/>
        <v>1</v>
      </c>
      <c r="E18" s="1"/>
      <c r="F18" s="12"/>
      <c r="G18" s="12"/>
      <c r="H18" s="1">
        <f t="shared" si="9"/>
        <v>11</v>
      </c>
      <c r="I18" s="4" t="str">
        <f t="shared" si="5"/>
        <v>01011</v>
      </c>
      <c r="J18" s="1" t="s">
        <v>44</v>
      </c>
      <c r="K18" s="1"/>
    </row>
    <row r="19" spans="1:11" x14ac:dyDescent="0.25">
      <c r="B19" s="3">
        <f t="shared" si="6"/>
        <v>1</v>
      </c>
      <c r="C19" s="4" t="str">
        <f t="shared" si="7"/>
        <v>00000001</v>
      </c>
      <c r="D19" s="2" t="str">
        <f t="shared" si="8"/>
        <v>1</v>
      </c>
      <c r="E19" s="1"/>
      <c r="F19" s="12"/>
      <c r="G19" s="12"/>
      <c r="H19" s="1">
        <f t="shared" si="9"/>
        <v>12</v>
      </c>
      <c r="I19" s="4" t="str">
        <f t="shared" si="5"/>
        <v>01100</v>
      </c>
      <c r="J19" s="1" t="s">
        <v>20</v>
      </c>
      <c r="K19" s="1" t="s">
        <v>28</v>
      </c>
    </row>
    <row r="20" spans="1:11" x14ac:dyDescent="0.25">
      <c r="B20" s="3"/>
      <c r="C20" s="4"/>
      <c r="E20" s="1"/>
      <c r="F20" s="12"/>
      <c r="G20" s="12"/>
      <c r="H20" s="1"/>
      <c r="I20" s="4"/>
      <c r="J20" s="1"/>
      <c r="K20" s="1"/>
    </row>
    <row r="21" spans="1:11" s="77" customFormat="1" x14ac:dyDescent="0.25">
      <c r="A21" s="77" t="s">
        <v>97</v>
      </c>
      <c r="B21" s="78">
        <v>2</v>
      </c>
      <c r="C21" s="79" t="str">
        <f t="shared" ref="C21:C22" si="10">TEXT(DEC2BIN(B21), "00000000")</f>
        <v>00000010</v>
      </c>
      <c r="D21" s="80" t="str">
        <f t="shared" ref="D21:D22" si="11">DEC2HEX(B21)</f>
        <v>2</v>
      </c>
      <c r="E21" s="81" t="s">
        <v>98</v>
      </c>
      <c r="F21" s="82"/>
      <c r="G21" s="82"/>
      <c r="H21" s="81">
        <v>0</v>
      </c>
      <c r="I21" s="79" t="str">
        <f t="shared" si="5"/>
        <v>00000</v>
      </c>
      <c r="J21" s="81" t="s">
        <v>14</v>
      </c>
      <c r="K21" s="81"/>
    </row>
    <row r="22" spans="1:11" x14ac:dyDescent="0.25">
      <c r="B22" s="3">
        <f t="shared" ref="B22:B25" si="12">(B21)</f>
        <v>2</v>
      </c>
      <c r="C22" s="4" t="str">
        <f t="shared" si="10"/>
        <v>00000010</v>
      </c>
      <c r="D22" s="2" t="str">
        <f t="shared" si="11"/>
        <v>2</v>
      </c>
      <c r="E22" s="1"/>
      <c r="F22" s="12"/>
      <c r="G22" s="12"/>
      <c r="H22" s="1">
        <f t="shared" ref="H22:H25" si="13">H21+1</f>
        <v>1</v>
      </c>
      <c r="I22" s="4" t="str">
        <f t="shared" si="5"/>
        <v>00001</v>
      </c>
      <c r="J22" s="1" t="s">
        <v>13</v>
      </c>
      <c r="K22" s="1"/>
    </row>
    <row r="23" spans="1:11" x14ac:dyDescent="0.25">
      <c r="B23" s="3">
        <f t="shared" si="12"/>
        <v>2</v>
      </c>
      <c r="C23" s="4" t="str">
        <f t="shared" ref="C23" si="14">TEXT(DEC2BIN(B23), "00000000")</f>
        <v>00000010</v>
      </c>
      <c r="D23" s="2" t="str">
        <f t="shared" ref="D23" si="15">DEC2HEX(B23)</f>
        <v>2</v>
      </c>
      <c r="E23" s="1"/>
      <c r="F23" s="12"/>
      <c r="G23" s="12"/>
      <c r="H23" s="1">
        <f t="shared" si="13"/>
        <v>2</v>
      </c>
      <c r="I23" s="4" t="str">
        <f t="shared" ref="I23" si="16">TEXT(DEC2BIN(H23), "00000")</f>
        <v>00010</v>
      </c>
      <c r="J23" s="1" t="s">
        <v>99</v>
      </c>
      <c r="K23" s="1"/>
    </row>
    <row r="24" spans="1:11" x14ac:dyDescent="0.25">
      <c r="B24" s="3">
        <f t="shared" si="12"/>
        <v>2</v>
      </c>
      <c r="C24" s="4" t="str">
        <f t="shared" ref="C24:C25" si="17">TEXT(DEC2BIN(B24), "00000000")</f>
        <v>00000010</v>
      </c>
      <c r="D24" s="2" t="str">
        <f t="shared" ref="D24:D25" si="18">DEC2HEX(B24)</f>
        <v>2</v>
      </c>
      <c r="E24" s="1"/>
      <c r="F24" s="12"/>
      <c r="G24" s="12"/>
      <c r="H24" s="1">
        <f t="shared" si="13"/>
        <v>3</v>
      </c>
      <c r="I24" s="4" t="str">
        <f t="shared" ref="I24:I25" si="19">TEXT(DEC2BIN(H24), "00000")</f>
        <v>00011</v>
      </c>
      <c r="J24" s="1" t="s">
        <v>100</v>
      </c>
      <c r="K24" s="1"/>
    </row>
    <row r="25" spans="1:11" x14ac:dyDescent="0.25">
      <c r="B25" s="3">
        <f t="shared" si="12"/>
        <v>2</v>
      </c>
      <c r="C25" s="4" t="str">
        <f t="shared" si="17"/>
        <v>00000010</v>
      </c>
      <c r="D25" s="2" t="str">
        <f t="shared" si="18"/>
        <v>2</v>
      </c>
      <c r="E25" s="1"/>
      <c r="F25" s="12"/>
      <c r="G25" s="12"/>
      <c r="H25" s="1">
        <f t="shared" si="13"/>
        <v>4</v>
      </c>
      <c r="I25" s="4" t="str">
        <f t="shared" si="19"/>
        <v>00100</v>
      </c>
      <c r="J25" s="1" t="s">
        <v>20</v>
      </c>
      <c r="K25" s="1"/>
    </row>
    <row r="26" spans="1:11" x14ac:dyDescent="0.25">
      <c r="B26" s="3"/>
      <c r="C26" s="4"/>
      <c r="E26" s="1"/>
      <c r="F26" s="12"/>
      <c r="G26" s="12"/>
      <c r="H26" s="1"/>
      <c r="I26" s="4"/>
      <c r="J26" s="1"/>
      <c r="K26" s="1"/>
    </row>
    <row r="27" spans="1:11" s="77" customFormat="1" x14ac:dyDescent="0.25">
      <c r="A27" s="77" t="s">
        <v>23</v>
      </c>
      <c r="B27" s="78">
        <v>32</v>
      </c>
      <c r="C27" s="79" t="str">
        <f t="shared" si="0"/>
        <v>00100000</v>
      </c>
      <c r="D27" s="80" t="str">
        <f t="shared" si="1"/>
        <v>20</v>
      </c>
      <c r="E27" s="81" t="s">
        <v>26</v>
      </c>
      <c r="F27" s="82"/>
      <c r="G27" s="82"/>
      <c r="H27" s="81">
        <v>0</v>
      </c>
      <c r="I27" s="79" t="str">
        <f t="shared" ref="I27:I32" si="20">TEXT(DEC2BIN(H27), "00000")</f>
        <v>00000</v>
      </c>
      <c r="J27" s="81" t="s">
        <v>14</v>
      </c>
      <c r="K27" s="81"/>
    </row>
    <row r="28" spans="1:11" x14ac:dyDescent="0.25">
      <c r="B28" s="3">
        <f t="shared" ref="B28:B32" si="21">(B27)</f>
        <v>32</v>
      </c>
      <c r="C28" s="4" t="str">
        <f t="shared" ref="C28:C32" si="22">TEXT(DEC2BIN(B28), "00000000")</f>
        <v>00100000</v>
      </c>
      <c r="D28" s="2" t="str">
        <f t="shared" si="1"/>
        <v>20</v>
      </c>
      <c r="E28" s="1"/>
      <c r="F28" s="12"/>
      <c r="G28" s="12"/>
      <c r="H28" s="1">
        <f t="shared" ref="H28:H32" si="23">H27+1</f>
        <v>1</v>
      </c>
      <c r="I28" s="4" t="str">
        <f t="shared" si="20"/>
        <v>00001</v>
      </c>
      <c r="J28" s="1" t="s">
        <v>13</v>
      </c>
      <c r="K28" s="1"/>
    </row>
    <row r="29" spans="1:11" x14ac:dyDescent="0.25">
      <c r="B29" s="3">
        <f t="shared" si="21"/>
        <v>32</v>
      </c>
      <c r="C29" s="4" t="str">
        <f t="shared" si="22"/>
        <v>00100000</v>
      </c>
      <c r="D29" s="2" t="str">
        <f t="shared" si="1"/>
        <v>20</v>
      </c>
      <c r="E29" s="1"/>
      <c r="F29" s="12"/>
      <c r="G29" s="12"/>
      <c r="H29" s="11">
        <f t="shared" si="23"/>
        <v>2</v>
      </c>
      <c r="I29" s="4" t="str">
        <f t="shared" si="20"/>
        <v>00010</v>
      </c>
      <c r="J29" s="11" t="s">
        <v>15</v>
      </c>
      <c r="K29" s="11" t="s">
        <v>25</v>
      </c>
    </row>
    <row r="30" spans="1:11" x14ac:dyDescent="0.25">
      <c r="B30" s="3">
        <f t="shared" si="21"/>
        <v>32</v>
      </c>
      <c r="C30" s="4" t="str">
        <f t="shared" si="22"/>
        <v>00100000</v>
      </c>
      <c r="D30" s="2" t="str">
        <f t="shared" si="1"/>
        <v>20</v>
      </c>
      <c r="E30" s="1"/>
      <c r="F30" s="12"/>
      <c r="G30" s="12"/>
      <c r="H30" s="11">
        <f t="shared" si="23"/>
        <v>3</v>
      </c>
      <c r="I30" s="4" t="str">
        <f t="shared" si="20"/>
        <v>00011</v>
      </c>
      <c r="J30" s="1" t="s">
        <v>27</v>
      </c>
      <c r="K30" s="11"/>
    </row>
    <row r="31" spans="1:11" x14ac:dyDescent="0.25">
      <c r="B31" s="3">
        <f t="shared" si="21"/>
        <v>32</v>
      </c>
      <c r="C31" s="4" t="str">
        <f t="shared" si="22"/>
        <v>00100000</v>
      </c>
      <c r="D31" s="2" t="str">
        <f t="shared" si="1"/>
        <v>20</v>
      </c>
      <c r="E31" s="1"/>
      <c r="F31" s="12"/>
      <c r="G31" s="12"/>
      <c r="H31" s="11">
        <f t="shared" si="23"/>
        <v>4</v>
      </c>
      <c r="I31" s="4" t="str">
        <f t="shared" si="20"/>
        <v>00100</v>
      </c>
      <c r="J31" s="1" t="s">
        <v>46</v>
      </c>
      <c r="K31" s="1"/>
    </row>
    <row r="32" spans="1:11" x14ac:dyDescent="0.25">
      <c r="B32" s="3">
        <f t="shared" si="21"/>
        <v>32</v>
      </c>
      <c r="C32" s="4" t="str">
        <f t="shared" si="22"/>
        <v>00100000</v>
      </c>
      <c r="D32" s="2" t="str">
        <f t="shared" si="1"/>
        <v>20</v>
      </c>
      <c r="E32" s="1"/>
      <c r="F32" s="12"/>
      <c r="G32" s="12"/>
      <c r="H32" s="11">
        <f t="shared" si="23"/>
        <v>5</v>
      </c>
      <c r="I32" s="4" t="str">
        <f t="shared" si="20"/>
        <v>00101</v>
      </c>
      <c r="J32" s="1" t="s">
        <v>20</v>
      </c>
      <c r="K32" s="1" t="s">
        <v>24</v>
      </c>
    </row>
    <row r="33" spans="1:11" x14ac:dyDescent="0.25">
      <c r="B33" s="3"/>
      <c r="C33" s="4"/>
      <c r="E33" s="1"/>
      <c r="F33" s="12"/>
      <c r="G33" s="12"/>
      <c r="H33" s="11"/>
      <c r="I33" s="11"/>
      <c r="J33" s="1"/>
      <c r="K33" s="1"/>
    </row>
    <row r="34" spans="1:11" x14ac:dyDescent="0.25">
      <c r="A34" t="s">
        <v>30</v>
      </c>
      <c r="B34" s="3">
        <v>33</v>
      </c>
      <c r="C34" s="4" t="str">
        <f t="shared" si="0"/>
        <v>00100001</v>
      </c>
      <c r="D34" s="2" t="str">
        <f t="shared" si="1"/>
        <v>21</v>
      </c>
      <c r="E34" s="1" t="s">
        <v>33</v>
      </c>
      <c r="F34" s="12"/>
      <c r="G34" s="12"/>
      <c r="H34" s="11">
        <v>0</v>
      </c>
      <c r="I34" s="4" t="str">
        <f t="shared" ref="I34:I44" si="24">TEXT(DEC2BIN(H34), "00000")</f>
        <v>00000</v>
      </c>
      <c r="J34" s="1" t="s">
        <v>14</v>
      </c>
      <c r="K34" s="1" t="s">
        <v>18</v>
      </c>
    </row>
    <row r="35" spans="1:11" x14ac:dyDescent="0.25">
      <c r="B35" s="3">
        <f t="shared" ref="B35:B44" si="25">(B34)</f>
        <v>33</v>
      </c>
      <c r="C35" s="4" t="str">
        <f t="shared" ref="C35:C44" si="26">TEXT(DEC2BIN(B35), "00000000")</f>
        <v>00100001</v>
      </c>
      <c r="D35" s="2" t="str">
        <f t="shared" si="1"/>
        <v>21</v>
      </c>
      <c r="E35" s="1"/>
      <c r="F35" s="12"/>
      <c r="G35" s="12"/>
      <c r="H35" s="11">
        <f t="shared" ref="H35:H44" si="27">H34+1</f>
        <v>1</v>
      </c>
      <c r="I35" s="4" t="str">
        <f t="shared" si="24"/>
        <v>00001</v>
      </c>
      <c r="J35" s="1" t="s">
        <v>13</v>
      </c>
      <c r="K35" s="1"/>
    </row>
    <row r="36" spans="1:11" x14ac:dyDescent="0.25">
      <c r="B36" s="3">
        <f t="shared" si="25"/>
        <v>33</v>
      </c>
      <c r="C36" s="4" t="str">
        <f t="shared" si="26"/>
        <v>00100001</v>
      </c>
      <c r="D36" s="2" t="str">
        <f t="shared" si="1"/>
        <v>21</v>
      </c>
      <c r="E36" s="1"/>
      <c r="F36" s="12"/>
      <c r="G36" s="12"/>
      <c r="H36" s="11">
        <f t="shared" si="27"/>
        <v>2</v>
      </c>
      <c r="I36" s="4" t="str">
        <f t="shared" si="24"/>
        <v>00010</v>
      </c>
      <c r="J36" s="11" t="s">
        <v>15</v>
      </c>
      <c r="K36" s="11" t="s">
        <v>25</v>
      </c>
    </row>
    <row r="37" spans="1:11" x14ac:dyDescent="0.25">
      <c r="B37" s="3">
        <f t="shared" si="25"/>
        <v>33</v>
      </c>
      <c r="C37" s="4" t="str">
        <f t="shared" si="26"/>
        <v>00100001</v>
      </c>
      <c r="D37" s="2" t="str">
        <f t="shared" si="1"/>
        <v>21</v>
      </c>
      <c r="E37" s="1"/>
      <c r="F37" s="12"/>
      <c r="G37" s="12"/>
      <c r="H37" s="11">
        <f t="shared" si="27"/>
        <v>3</v>
      </c>
      <c r="I37" s="4" t="str">
        <f t="shared" si="24"/>
        <v>00011</v>
      </c>
      <c r="J37" s="1" t="s">
        <v>49</v>
      </c>
      <c r="K37" s="11" t="s">
        <v>19</v>
      </c>
    </row>
    <row r="38" spans="1:11" x14ac:dyDescent="0.25">
      <c r="B38" s="3">
        <f t="shared" si="25"/>
        <v>33</v>
      </c>
      <c r="C38" s="4" t="str">
        <f t="shared" si="26"/>
        <v>00100001</v>
      </c>
      <c r="D38" s="2" t="str">
        <f t="shared" si="1"/>
        <v>21</v>
      </c>
      <c r="E38" s="1"/>
      <c r="F38" s="12"/>
      <c r="G38" s="12"/>
      <c r="H38" s="11">
        <f t="shared" si="27"/>
        <v>4</v>
      </c>
      <c r="I38" s="4" t="str">
        <f t="shared" si="24"/>
        <v>00100</v>
      </c>
      <c r="J38" s="1" t="s">
        <v>50</v>
      </c>
      <c r="K38" s="1"/>
    </row>
    <row r="39" spans="1:11" x14ac:dyDescent="0.25">
      <c r="B39" s="3">
        <f t="shared" si="25"/>
        <v>33</v>
      </c>
      <c r="C39" s="4" t="str">
        <f t="shared" si="26"/>
        <v>00100001</v>
      </c>
      <c r="D39" s="2" t="str">
        <f t="shared" si="1"/>
        <v>21</v>
      </c>
      <c r="E39" s="1"/>
      <c r="F39" s="12"/>
      <c r="G39" s="12"/>
      <c r="H39" s="11">
        <f t="shared" si="27"/>
        <v>5</v>
      </c>
      <c r="I39" s="4" t="str">
        <f t="shared" si="24"/>
        <v>00101</v>
      </c>
      <c r="J39" s="11" t="s">
        <v>15</v>
      </c>
      <c r="K39" s="11" t="s">
        <v>25</v>
      </c>
    </row>
    <row r="40" spans="1:11" x14ac:dyDescent="0.25">
      <c r="B40" s="3">
        <f t="shared" si="25"/>
        <v>33</v>
      </c>
      <c r="C40" s="4" t="str">
        <f t="shared" si="26"/>
        <v>00100001</v>
      </c>
      <c r="D40" s="2" t="str">
        <f t="shared" si="1"/>
        <v>21</v>
      </c>
      <c r="E40" s="1"/>
      <c r="F40" s="12"/>
      <c r="G40" s="12"/>
      <c r="H40" s="11">
        <f t="shared" si="27"/>
        <v>6</v>
      </c>
      <c r="I40" s="4" t="str">
        <f t="shared" si="24"/>
        <v>00110</v>
      </c>
      <c r="J40" s="1" t="s">
        <v>47</v>
      </c>
      <c r="K40" s="11" t="s">
        <v>21</v>
      </c>
    </row>
    <row r="41" spans="1:11" x14ac:dyDescent="0.25">
      <c r="B41" s="3">
        <f t="shared" si="25"/>
        <v>33</v>
      </c>
      <c r="C41" s="4" t="str">
        <f t="shared" si="26"/>
        <v>00100001</v>
      </c>
      <c r="D41" s="2" t="str">
        <f t="shared" si="1"/>
        <v>21</v>
      </c>
      <c r="E41" s="1"/>
      <c r="F41" s="12"/>
      <c r="G41" s="12"/>
      <c r="H41" s="11">
        <f t="shared" si="27"/>
        <v>7</v>
      </c>
      <c r="I41" s="4" t="str">
        <f t="shared" si="24"/>
        <v>00111</v>
      </c>
      <c r="J41" s="1" t="s">
        <v>48</v>
      </c>
      <c r="K41" s="11"/>
    </row>
    <row r="42" spans="1:11" x14ac:dyDescent="0.25">
      <c r="B42" s="3">
        <f t="shared" si="25"/>
        <v>33</v>
      </c>
      <c r="C42" s="4" t="str">
        <f t="shared" si="26"/>
        <v>00100001</v>
      </c>
      <c r="D42" s="2" t="str">
        <f t="shared" si="1"/>
        <v>21</v>
      </c>
      <c r="H42" s="11">
        <f t="shared" si="27"/>
        <v>8</v>
      </c>
      <c r="I42" s="4" t="str">
        <f t="shared" si="24"/>
        <v>01000</v>
      </c>
      <c r="J42" s="11" t="s">
        <v>16</v>
      </c>
      <c r="K42" s="11" t="s">
        <v>22</v>
      </c>
    </row>
    <row r="43" spans="1:11" x14ac:dyDescent="0.25">
      <c r="B43" s="3">
        <f t="shared" si="25"/>
        <v>33</v>
      </c>
      <c r="C43" s="4" t="str">
        <f t="shared" si="26"/>
        <v>00100001</v>
      </c>
      <c r="D43" s="2" t="str">
        <f t="shared" si="1"/>
        <v>21</v>
      </c>
      <c r="H43" s="11">
        <f t="shared" si="27"/>
        <v>9</v>
      </c>
      <c r="I43" s="4" t="str">
        <f t="shared" si="24"/>
        <v>01001</v>
      </c>
      <c r="J43" s="11" t="s">
        <v>17</v>
      </c>
      <c r="K43" s="1"/>
    </row>
    <row r="44" spans="1:11" x14ac:dyDescent="0.25">
      <c r="B44" s="3">
        <f t="shared" si="25"/>
        <v>33</v>
      </c>
      <c r="C44" s="4" t="str">
        <f t="shared" si="26"/>
        <v>00100001</v>
      </c>
      <c r="D44" s="2" t="str">
        <f t="shared" si="1"/>
        <v>21</v>
      </c>
      <c r="H44" s="11">
        <f t="shared" si="27"/>
        <v>10</v>
      </c>
      <c r="I44" s="4" t="str">
        <f t="shared" si="24"/>
        <v>01010</v>
      </c>
      <c r="J44" s="1" t="s">
        <v>20</v>
      </c>
      <c r="K44" s="1" t="s">
        <v>28</v>
      </c>
    </row>
    <row r="45" spans="1:11" x14ac:dyDescent="0.25">
      <c r="B45" s="3"/>
      <c r="C45" s="4"/>
      <c r="H45" s="11"/>
      <c r="I45" s="4"/>
      <c r="J45" s="1"/>
      <c r="K45" s="1"/>
    </row>
    <row r="46" spans="1:11" x14ac:dyDescent="0.25">
      <c r="A46" t="s">
        <v>34</v>
      </c>
      <c r="B46" s="3">
        <v>34</v>
      </c>
      <c r="C46" s="4" t="str">
        <f t="shared" ref="C46:C55" si="28">TEXT(DEC2BIN(B46), "00000000")</f>
        <v>00100010</v>
      </c>
      <c r="D46" s="2" t="str">
        <f t="shared" si="1"/>
        <v>22</v>
      </c>
      <c r="E46" s="1" t="s">
        <v>35</v>
      </c>
      <c r="F46" s="12"/>
      <c r="G46" s="12"/>
      <c r="H46" s="11">
        <v>0</v>
      </c>
      <c r="I46" s="4" t="str">
        <f t="shared" ref="I46:I55" si="29">TEXT(DEC2BIN(H46), "00000")</f>
        <v>00000</v>
      </c>
      <c r="J46" s="1" t="s">
        <v>14</v>
      </c>
      <c r="K46" s="1" t="s">
        <v>18</v>
      </c>
    </row>
    <row r="47" spans="1:11" x14ac:dyDescent="0.25">
      <c r="B47" s="3">
        <f t="shared" ref="B47:B55" si="30">(B46)</f>
        <v>34</v>
      </c>
      <c r="C47" s="4" t="str">
        <f t="shared" si="28"/>
        <v>00100010</v>
      </c>
      <c r="D47" s="2" t="str">
        <f t="shared" si="1"/>
        <v>22</v>
      </c>
      <c r="E47" s="1"/>
      <c r="F47" s="12"/>
      <c r="G47" s="12"/>
      <c r="H47" s="11">
        <f t="shared" ref="H47:H55" si="31">H46+1</f>
        <v>1</v>
      </c>
      <c r="I47" s="4" t="str">
        <f t="shared" si="29"/>
        <v>00001</v>
      </c>
      <c r="J47" s="1" t="s">
        <v>13</v>
      </c>
      <c r="K47" s="1"/>
    </row>
    <row r="48" spans="1:11" x14ac:dyDescent="0.25">
      <c r="B48" s="3">
        <f t="shared" si="30"/>
        <v>34</v>
      </c>
      <c r="C48" s="4" t="str">
        <f t="shared" si="28"/>
        <v>00100010</v>
      </c>
      <c r="D48" s="2" t="str">
        <f t="shared" si="1"/>
        <v>22</v>
      </c>
      <c r="E48" s="1"/>
      <c r="F48" s="12"/>
      <c r="G48" s="12"/>
      <c r="H48" s="11">
        <f t="shared" si="31"/>
        <v>2</v>
      </c>
      <c r="I48" s="4" t="str">
        <f t="shared" si="29"/>
        <v>00010</v>
      </c>
      <c r="J48" s="11" t="s">
        <v>15</v>
      </c>
      <c r="K48" s="11" t="s">
        <v>25</v>
      </c>
    </row>
    <row r="49" spans="1:11" x14ac:dyDescent="0.25">
      <c r="B49" s="3">
        <f t="shared" si="30"/>
        <v>34</v>
      </c>
      <c r="C49" s="4" t="str">
        <f t="shared" si="28"/>
        <v>00100010</v>
      </c>
      <c r="D49" s="2" t="str">
        <f t="shared" si="1"/>
        <v>22</v>
      </c>
      <c r="E49" s="1"/>
      <c r="F49" s="12"/>
      <c r="G49" s="12"/>
      <c r="H49" s="11">
        <f t="shared" si="31"/>
        <v>3</v>
      </c>
      <c r="I49" s="4" t="str">
        <f t="shared" si="29"/>
        <v>00011</v>
      </c>
      <c r="J49" s="1" t="s">
        <v>49</v>
      </c>
      <c r="K49" s="11" t="s">
        <v>19</v>
      </c>
    </row>
    <row r="50" spans="1:11" x14ac:dyDescent="0.25">
      <c r="B50" s="3">
        <f t="shared" si="30"/>
        <v>34</v>
      </c>
      <c r="C50" s="4" t="str">
        <f t="shared" si="28"/>
        <v>00100010</v>
      </c>
      <c r="D50" s="2" t="str">
        <f t="shared" si="1"/>
        <v>22</v>
      </c>
      <c r="E50" s="1"/>
      <c r="F50" s="12"/>
      <c r="G50" s="12"/>
      <c r="H50" s="11">
        <f t="shared" si="31"/>
        <v>4</v>
      </c>
      <c r="I50" s="4" t="str">
        <f t="shared" si="29"/>
        <v>00100</v>
      </c>
      <c r="J50" s="1" t="s">
        <v>50</v>
      </c>
      <c r="K50" s="1"/>
    </row>
    <row r="51" spans="1:11" x14ac:dyDescent="0.25">
      <c r="B51" s="3">
        <f t="shared" si="30"/>
        <v>34</v>
      </c>
      <c r="C51" s="4" t="str">
        <f t="shared" si="28"/>
        <v>00100010</v>
      </c>
      <c r="D51" s="2" t="str">
        <f t="shared" si="1"/>
        <v>22</v>
      </c>
      <c r="E51" s="1"/>
      <c r="F51" s="12"/>
      <c r="G51" s="12"/>
      <c r="H51" s="11">
        <f t="shared" si="31"/>
        <v>5</v>
      </c>
      <c r="I51" s="4" t="str">
        <f t="shared" si="29"/>
        <v>00101</v>
      </c>
      <c r="J51" s="11" t="s">
        <v>15</v>
      </c>
      <c r="K51" s="11" t="s">
        <v>25</v>
      </c>
    </row>
    <row r="52" spans="1:11" x14ac:dyDescent="0.25">
      <c r="B52" s="3">
        <f t="shared" si="30"/>
        <v>34</v>
      </c>
      <c r="C52" s="4" t="str">
        <f t="shared" si="28"/>
        <v>00100010</v>
      </c>
      <c r="D52" s="2" t="str">
        <f t="shared" si="1"/>
        <v>22</v>
      </c>
      <c r="E52" s="1"/>
      <c r="F52" s="12"/>
      <c r="G52" s="12"/>
      <c r="H52" s="11">
        <f t="shared" si="31"/>
        <v>6</v>
      </c>
      <c r="I52" s="4" t="str">
        <f t="shared" si="29"/>
        <v>00110</v>
      </c>
      <c r="J52" s="1" t="s">
        <v>47</v>
      </c>
      <c r="K52" s="11" t="s">
        <v>21</v>
      </c>
    </row>
    <row r="53" spans="1:11" x14ac:dyDescent="0.25">
      <c r="B53" s="3">
        <f t="shared" si="30"/>
        <v>34</v>
      </c>
      <c r="C53" s="4" t="str">
        <f t="shared" si="28"/>
        <v>00100010</v>
      </c>
      <c r="D53" s="2" t="str">
        <f t="shared" si="1"/>
        <v>22</v>
      </c>
      <c r="E53" s="1"/>
      <c r="F53" s="12"/>
      <c r="G53" s="12"/>
      <c r="H53" s="11">
        <f t="shared" si="31"/>
        <v>7</v>
      </c>
      <c r="I53" s="4" t="str">
        <f t="shared" si="29"/>
        <v>00111</v>
      </c>
      <c r="J53" s="1" t="s">
        <v>48</v>
      </c>
      <c r="K53" s="11"/>
    </row>
    <row r="54" spans="1:11" x14ac:dyDescent="0.25">
      <c r="B54" s="3">
        <f t="shared" si="30"/>
        <v>34</v>
      </c>
      <c r="C54" s="4" t="str">
        <f t="shared" si="28"/>
        <v>00100010</v>
      </c>
      <c r="D54" s="2" t="str">
        <f t="shared" si="1"/>
        <v>22</v>
      </c>
      <c r="H54" s="11">
        <f t="shared" si="31"/>
        <v>8</v>
      </c>
      <c r="I54" s="4" t="str">
        <f t="shared" si="29"/>
        <v>01000</v>
      </c>
      <c r="J54" s="11" t="s">
        <v>36</v>
      </c>
      <c r="K54" s="11" t="s">
        <v>54</v>
      </c>
    </row>
    <row r="55" spans="1:11" x14ac:dyDescent="0.25">
      <c r="B55" s="3">
        <f t="shared" si="30"/>
        <v>34</v>
      </c>
      <c r="C55" s="4" t="str">
        <f t="shared" si="28"/>
        <v>00100010</v>
      </c>
      <c r="D55" s="2" t="str">
        <f t="shared" si="1"/>
        <v>22</v>
      </c>
      <c r="H55" s="11">
        <f t="shared" si="31"/>
        <v>9</v>
      </c>
      <c r="I55" s="4" t="str">
        <f t="shared" si="29"/>
        <v>01001</v>
      </c>
      <c r="J55" s="1" t="s">
        <v>20</v>
      </c>
      <c r="K55" s="1" t="s">
        <v>28</v>
      </c>
    </row>
    <row r="56" spans="1:11" x14ac:dyDescent="0.25">
      <c r="B56" s="3"/>
      <c r="C56" s="4"/>
      <c r="H56" s="11"/>
      <c r="I56" s="4"/>
      <c r="J56" s="1"/>
      <c r="K56" s="1"/>
    </row>
    <row r="57" spans="1:11" s="50" customFormat="1" x14ac:dyDescent="0.25">
      <c r="A57" s="44" t="s">
        <v>72</v>
      </c>
      <c r="B57" s="45">
        <v>35</v>
      </c>
      <c r="C57" s="4" t="str">
        <f t="shared" ref="C57:C59" si="32">TEXT(DEC2BIN(B57), "00000000")</f>
        <v>00100011</v>
      </c>
      <c r="D57" s="2" t="str">
        <f>DEC2HEX(B57)</f>
        <v>23</v>
      </c>
      <c r="E57" s="48"/>
      <c r="F57" s="49"/>
      <c r="G57" s="49"/>
      <c r="H57" s="11">
        <v>0</v>
      </c>
      <c r="I57" s="4" t="str">
        <f>TEXT(DEC2BIN(H57), "00000")</f>
        <v>00000</v>
      </c>
      <c r="J57" s="1" t="s">
        <v>14</v>
      </c>
      <c r="K57" s="48"/>
    </row>
    <row r="58" spans="1:11" s="50" customFormat="1" x14ac:dyDescent="0.25">
      <c r="A58" s="44"/>
      <c r="B58" s="3">
        <f t="shared" ref="B58:B59" si="33">(B57)</f>
        <v>35</v>
      </c>
      <c r="C58" s="4" t="str">
        <f t="shared" si="32"/>
        <v>00100011</v>
      </c>
      <c r="D58" s="2" t="str">
        <f t="shared" ref="D58:D59" si="34">DEC2HEX(B58)</f>
        <v>23</v>
      </c>
      <c r="E58" s="48"/>
      <c r="F58" s="49"/>
      <c r="G58" s="49"/>
      <c r="H58" s="11">
        <f t="shared" ref="H58:H59" si="35">H57+1</f>
        <v>1</v>
      </c>
      <c r="I58" s="4" t="str">
        <f>TEXT(DEC2BIN(H58), "00000")</f>
        <v>00001</v>
      </c>
      <c r="J58" s="1" t="s">
        <v>13</v>
      </c>
      <c r="K58" s="48"/>
    </row>
    <row r="59" spans="1:11" x14ac:dyDescent="0.25">
      <c r="B59" s="3">
        <f t="shared" si="33"/>
        <v>35</v>
      </c>
      <c r="C59" s="4" t="str">
        <f t="shared" si="32"/>
        <v>00100011</v>
      </c>
      <c r="D59" s="2" t="str">
        <f t="shared" si="34"/>
        <v>23</v>
      </c>
      <c r="H59" s="11">
        <f t="shared" si="35"/>
        <v>2</v>
      </c>
      <c r="I59" s="4" t="str">
        <f>TEXT(DEC2BIN(H59), "00000")</f>
        <v>00010</v>
      </c>
      <c r="J59" s="1" t="s">
        <v>20</v>
      </c>
      <c r="K59" s="1" t="s">
        <v>28</v>
      </c>
    </row>
    <row r="60" spans="1:11" s="50" customFormat="1" x14ac:dyDescent="0.25">
      <c r="A60" s="44"/>
      <c r="B60" s="45"/>
      <c r="C60" s="46"/>
      <c r="D60" s="47"/>
      <c r="E60" s="48"/>
      <c r="F60" s="49"/>
      <c r="G60" s="49"/>
      <c r="H60" s="11"/>
      <c r="I60" s="4"/>
      <c r="J60" s="1"/>
      <c r="K60" s="48"/>
    </row>
    <row r="61" spans="1:11" s="50" customFormat="1" x14ac:dyDescent="0.25">
      <c r="A61" s="44" t="s">
        <v>73</v>
      </c>
      <c r="B61" s="51">
        <v>36</v>
      </c>
      <c r="C61" s="4" t="str">
        <f t="shared" ref="C61:C63" si="36">TEXT(DEC2BIN(B61), "00000000")</f>
        <v>00100100</v>
      </c>
      <c r="D61" s="2" t="str">
        <f>DEC2HEX(B61)</f>
        <v>24</v>
      </c>
      <c r="E61" s="54"/>
      <c r="F61" s="55"/>
      <c r="G61" s="55"/>
      <c r="H61" s="11">
        <v>0</v>
      </c>
      <c r="I61" s="4" t="str">
        <f>TEXT(DEC2BIN(H61), "00000")</f>
        <v>00000</v>
      </c>
      <c r="J61" s="1" t="s">
        <v>14</v>
      </c>
      <c r="K61" s="54"/>
    </row>
    <row r="62" spans="1:11" s="50" customFormat="1" x14ac:dyDescent="0.25">
      <c r="A62" s="44"/>
      <c r="B62" s="3">
        <f t="shared" ref="B62:B63" si="37">(B61)</f>
        <v>36</v>
      </c>
      <c r="C62" s="4" t="str">
        <f t="shared" si="36"/>
        <v>00100100</v>
      </c>
      <c r="D62" s="2" t="str">
        <f t="shared" ref="D62:D63" si="38">DEC2HEX(B62)</f>
        <v>24</v>
      </c>
      <c r="E62" s="54"/>
      <c r="F62" s="55"/>
      <c r="G62" s="55"/>
      <c r="H62" s="11">
        <f t="shared" ref="H62:H63" si="39">H61+1</f>
        <v>1</v>
      </c>
      <c r="I62" s="4" t="str">
        <f>TEXT(DEC2BIN(H62), "00000")</f>
        <v>00001</v>
      </c>
      <c r="J62" s="1" t="s">
        <v>13</v>
      </c>
      <c r="K62" s="54"/>
    </row>
    <row r="63" spans="1:11" x14ac:dyDescent="0.25">
      <c r="B63" s="3">
        <f t="shared" si="37"/>
        <v>36</v>
      </c>
      <c r="C63" s="4" t="str">
        <f t="shared" si="36"/>
        <v>00100100</v>
      </c>
      <c r="D63" s="2" t="str">
        <f t="shared" si="38"/>
        <v>24</v>
      </c>
      <c r="H63" s="11">
        <f t="shared" si="39"/>
        <v>2</v>
      </c>
      <c r="I63" s="4" t="str">
        <f>TEXT(DEC2BIN(H63), "00000")</f>
        <v>00010</v>
      </c>
      <c r="J63" s="1" t="s">
        <v>20</v>
      </c>
      <c r="K63" s="1" t="s">
        <v>28</v>
      </c>
    </row>
    <row r="64" spans="1:11" s="50" customFormat="1" x14ac:dyDescent="0.25">
      <c r="A64" s="44"/>
      <c r="B64" s="51"/>
      <c r="C64" s="52"/>
      <c r="D64" s="53"/>
      <c r="E64" s="54"/>
      <c r="F64" s="55"/>
      <c r="G64" s="55"/>
      <c r="H64" s="11"/>
      <c r="I64" s="4"/>
      <c r="J64" s="1"/>
      <c r="K64" s="54"/>
    </row>
    <row r="65" spans="1:11" s="50" customFormat="1" x14ac:dyDescent="0.25">
      <c r="A65" s="44" t="s">
        <v>74</v>
      </c>
      <c r="B65" s="45">
        <v>37</v>
      </c>
      <c r="C65" s="4" t="str">
        <f t="shared" ref="C65:C67" si="40">TEXT(DEC2BIN(B65), "00000000")</f>
        <v>00100101</v>
      </c>
      <c r="D65" s="2" t="str">
        <f>DEC2HEX(B65)</f>
        <v>25</v>
      </c>
      <c r="E65" s="48"/>
      <c r="F65" s="49"/>
      <c r="G65" s="49"/>
      <c r="H65" s="11">
        <v>0</v>
      </c>
      <c r="I65" s="4" t="str">
        <f>TEXT(DEC2BIN(H65), "00000")</f>
        <v>00000</v>
      </c>
      <c r="J65" s="1" t="s">
        <v>14</v>
      </c>
      <c r="K65" s="48"/>
    </row>
    <row r="66" spans="1:11" s="50" customFormat="1" x14ac:dyDescent="0.25">
      <c r="A66" s="44"/>
      <c r="B66" s="3">
        <f t="shared" ref="B66:B67" si="41">(B65)</f>
        <v>37</v>
      </c>
      <c r="C66" s="4" t="str">
        <f t="shared" si="40"/>
        <v>00100101</v>
      </c>
      <c r="D66" s="2" t="str">
        <f t="shared" ref="D66:D67" si="42">DEC2HEX(B66)</f>
        <v>25</v>
      </c>
      <c r="E66" s="48"/>
      <c r="F66" s="49"/>
      <c r="G66" s="49"/>
      <c r="H66" s="11">
        <f t="shared" ref="H66:H67" si="43">H65+1</f>
        <v>1</v>
      </c>
      <c r="I66" s="4" t="str">
        <f>TEXT(DEC2BIN(H66), "00000")</f>
        <v>00001</v>
      </c>
      <c r="J66" s="1" t="s">
        <v>13</v>
      </c>
      <c r="K66" s="48"/>
    </row>
    <row r="67" spans="1:11" x14ac:dyDescent="0.25">
      <c r="B67" s="3">
        <f t="shared" si="41"/>
        <v>37</v>
      </c>
      <c r="C67" s="4" t="str">
        <f t="shared" si="40"/>
        <v>00100101</v>
      </c>
      <c r="D67" s="2" t="str">
        <f t="shared" si="42"/>
        <v>25</v>
      </c>
      <c r="H67" s="11">
        <f t="shared" si="43"/>
        <v>2</v>
      </c>
      <c r="I67" s="4" t="str">
        <f>TEXT(DEC2BIN(H67), "00000")</f>
        <v>00010</v>
      </c>
      <c r="J67" s="1" t="s">
        <v>20</v>
      </c>
      <c r="K67" s="1" t="s">
        <v>28</v>
      </c>
    </row>
    <row r="68" spans="1:11" s="50" customFormat="1" x14ac:dyDescent="0.25">
      <c r="A68" s="44"/>
      <c r="B68" s="45"/>
      <c r="C68" s="46"/>
      <c r="D68" s="47"/>
      <c r="E68" s="48"/>
      <c r="F68" s="49"/>
      <c r="G68" s="49"/>
      <c r="H68" s="11"/>
      <c r="I68" s="4"/>
      <c r="J68" s="1"/>
      <c r="K68" s="48"/>
    </row>
    <row r="69" spans="1:11" s="50" customFormat="1" ht="15" customHeight="1" x14ac:dyDescent="0.25">
      <c r="A69" s="44" t="s">
        <v>75</v>
      </c>
      <c r="B69" s="51">
        <v>38</v>
      </c>
      <c r="C69" s="4" t="str">
        <f t="shared" ref="C69:C71" si="44">TEXT(DEC2BIN(B69), "00000000")</f>
        <v>00100110</v>
      </c>
      <c r="D69" s="2" t="str">
        <f>DEC2HEX(B69)</f>
        <v>26</v>
      </c>
      <c r="E69" s="54"/>
      <c r="F69" s="55"/>
      <c r="G69" s="55"/>
      <c r="H69" s="11">
        <v>0</v>
      </c>
      <c r="I69" s="4" t="str">
        <f>TEXT(DEC2BIN(H69), "00000")</f>
        <v>00000</v>
      </c>
      <c r="J69" s="1" t="s">
        <v>14</v>
      </c>
      <c r="K69" s="54"/>
    </row>
    <row r="70" spans="1:11" s="50" customFormat="1" ht="15" customHeight="1" x14ac:dyDescent="0.25">
      <c r="A70" s="44"/>
      <c r="B70" s="3">
        <f t="shared" ref="B70:B71" si="45">(B69)</f>
        <v>38</v>
      </c>
      <c r="C70" s="4" t="str">
        <f t="shared" si="44"/>
        <v>00100110</v>
      </c>
      <c r="D70" s="2" t="str">
        <f t="shared" ref="D70:D71" si="46">DEC2HEX(B70)</f>
        <v>26</v>
      </c>
      <c r="E70" s="54"/>
      <c r="F70" s="55"/>
      <c r="G70" s="55"/>
      <c r="H70" s="11">
        <f t="shared" ref="H70:H71" si="47">H69+1</f>
        <v>1</v>
      </c>
      <c r="I70" s="4" t="str">
        <f>TEXT(DEC2BIN(H70), "00000")</f>
        <v>00001</v>
      </c>
      <c r="J70" s="1" t="s">
        <v>13</v>
      </c>
      <c r="K70" s="54"/>
    </row>
    <row r="71" spans="1:11" x14ac:dyDescent="0.25">
      <c r="B71" s="3">
        <f t="shared" si="45"/>
        <v>38</v>
      </c>
      <c r="C71" s="4" t="str">
        <f t="shared" si="44"/>
        <v>00100110</v>
      </c>
      <c r="D71" s="2" t="str">
        <f t="shared" si="46"/>
        <v>26</v>
      </c>
      <c r="H71" s="11">
        <f t="shared" si="47"/>
        <v>2</v>
      </c>
      <c r="I71" s="4" t="str">
        <f>TEXT(DEC2BIN(H71), "00000")</f>
        <v>00010</v>
      </c>
      <c r="J71" s="1" t="s">
        <v>20</v>
      </c>
      <c r="K71" s="1" t="s">
        <v>28</v>
      </c>
    </row>
    <row r="72" spans="1:11" s="50" customFormat="1" ht="15" customHeight="1" x14ac:dyDescent="0.25">
      <c r="A72" s="44"/>
      <c r="B72" s="51"/>
      <c r="C72" s="52"/>
      <c r="D72" s="53"/>
      <c r="E72" s="54"/>
      <c r="F72" s="55"/>
      <c r="G72" s="55"/>
      <c r="H72" s="11"/>
      <c r="I72" s="4"/>
      <c r="J72" s="1"/>
      <c r="K72" s="54"/>
    </row>
    <row r="73" spans="1:11" s="50" customFormat="1" ht="15" customHeight="1" x14ac:dyDescent="0.25">
      <c r="A73" s="44" t="s">
        <v>76</v>
      </c>
      <c r="B73" s="45">
        <v>39</v>
      </c>
      <c r="C73" s="4" t="str">
        <f t="shared" ref="C73:C75" si="48">TEXT(DEC2BIN(B73), "00000000")</f>
        <v>00100111</v>
      </c>
      <c r="D73" s="2" t="str">
        <f>DEC2HEX(B73)</f>
        <v>27</v>
      </c>
      <c r="E73" s="48"/>
      <c r="F73" s="49"/>
      <c r="G73" s="49"/>
      <c r="H73" s="11">
        <v>0</v>
      </c>
      <c r="I73" s="4" t="str">
        <f>TEXT(DEC2BIN(H73), "00000")</f>
        <v>00000</v>
      </c>
      <c r="J73" s="1" t="s">
        <v>14</v>
      </c>
      <c r="K73" s="48"/>
    </row>
    <row r="74" spans="1:11" s="50" customFormat="1" ht="15" customHeight="1" x14ac:dyDescent="0.25">
      <c r="A74" s="44"/>
      <c r="B74" s="3">
        <f t="shared" ref="B74:B75" si="49">(B73)</f>
        <v>39</v>
      </c>
      <c r="C74" s="4" t="str">
        <f t="shared" si="48"/>
        <v>00100111</v>
      </c>
      <c r="D74" s="2" t="str">
        <f t="shared" ref="D74:D75" si="50">DEC2HEX(B74)</f>
        <v>27</v>
      </c>
      <c r="E74" s="48"/>
      <c r="F74" s="49"/>
      <c r="G74" s="49"/>
      <c r="H74" s="11">
        <f t="shared" ref="H74:H75" si="51">H73+1</f>
        <v>1</v>
      </c>
      <c r="I74" s="4" t="str">
        <f>TEXT(DEC2BIN(H74), "00000")</f>
        <v>00001</v>
      </c>
      <c r="J74" s="1" t="s">
        <v>13</v>
      </c>
      <c r="K74" s="48"/>
    </row>
    <row r="75" spans="1:11" x14ac:dyDescent="0.25">
      <c r="B75" s="3">
        <f t="shared" si="49"/>
        <v>39</v>
      </c>
      <c r="C75" s="4" t="str">
        <f t="shared" si="48"/>
        <v>00100111</v>
      </c>
      <c r="D75" s="2" t="str">
        <f t="shared" si="50"/>
        <v>27</v>
      </c>
      <c r="H75" s="11">
        <f t="shared" si="51"/>
        <v>2</v>
      </c>
      <c r="I75" s="4" t="str">
        <f>TEXT(DEC2BIN(H75), "00000")</f>
        <v>00010</v>
      </c>
      <c r="J75" s="1" t="s">
        <v>20</v>
      </c>
      <c r="K75" s="1" t="s">
        <v>28</v>
      </c>
    </row>
    <row r="76" spans="1:11" x14ac:dyDescent="0.25">
      <c r="B76" s="3"/>
      <c r="C76" s="4"/>
      <c r="H76" s="11"/>
      <c r="I76" s="4"/>
      <c r="J76" s="1"/>
      <c r="K76" s="1"/>
    </row>
    <row r="77" spans="1:11" s="77" customFormat="1" x14ac:dyDescent="0.25">
      <c r="A77" s="77" t="s">
        <v>117</v>
      </c>
      <c r="B77" s="78">
        <v>48</v>
      </c>
      <c r="C77" s="79" t="str">
        <f t="shared" ref="C77" si="52">TEXT(DEC2BIN(B77), "00000000")</f>
        <v>00110000</v>
      </c>
      <c r="D77" s="80" t="str">
        <f t="shared" ref="D77" si="53">DEC2HEX(B77)</f>
        <v>30</v>
      </c>
      <c r="E77" s="81" t="s">
        <v>32</v>
      </c>
      <c r="F77" s="82"/>
      <c r="G77" s="82"/>
      <c r="H77" s="81">
        <v>0</v>
      </c>
      <c r="I77" s="79" t="str">
        <f t="shared" ref="I77:I82" si="54">TEXT(DEC2BIN(H77), "00000")</f>
        <v>00000</v>
      </c>
      <c r="J77" s="81" t="s">
        <v>14</v>
      </c>
      <c r="K77" s="81" t="s">
        <v>18</v>
      </c>
    </row>
    <row r="78" spans="1:11" x14ac:dyDescent="0.25">
      <c r="B78" s="3">
        <f t="shared" ref="B78:B82" si="55">(B77)</f>
        <v>48</v>
      </c>
      <c r="C78" s="4" t="str">
        <f t="shared" ref="C78:C82" si="56">TEXT(DEC2BIN(B78), "00000000")</f>
        <v>00110000</v>
      </c>
      <c r="D78" s="2" t="str">
        <f t="shared" ref="D78:D82" si="57">DEC2HEX(B78)</f>
        <v>30</v>
      </c>
      <c r="E78" s="1"/>
      <c r="F78" s="12"/>
      <c r="G78" s="12"/>
      <c r="H78" s="1">
        <f t="shared" ref="H78:H82" si="58">H77+1</f>
        <v>1</v>
      </c>
      <c r="I78" s="4" t="str">
        <f t="shared" si="54"/>
        <v>00001</v>
      </c>
      <c r="J78" s="1" t="s">
        <v>13</v>
      </c>
      <c r="K78" s="1"/>
    </row>
    <row r="79" spans="1:11" x14ac:dyDescent="0.25">
      <c r="B79" s="3">
        <f t="shared" si="55"/>
        <v>48</v>
      </c>
      <c r="C79" s="4" t="str">
        <f t="shared" si="56"/>
        <v>00110000</v>
      </c>
      <c r="D79" s="2" t="str">
        <f t="shared" si="57"/>
        <v>30</v>
      </c>
      <c r="E79" s="1"/>
      <c r="F79" s="12"/>
      <c r="G79" s="12"/>
      <c r="H79" s="11">
        <f t="shared" si="58"/>
        <v>2</v>
      </c>
      <c r="I79" s="4" t="str">
        <f t="shared" si="54"/>
        <v>00010</v>
      </c>
      <c r="J79" s="11" t="s">
        <v>15</v>
      </c>
      <c r="K79" s="11"/>
    </row>
    <row r="80" spans="1:11" x14ac:dyDescent="0.25">
      <c r="B80" s="3">
        <f t="shared" si="55"/>
        <v>48</v>
      </c>
      <c r="C80" s="4" t="str">
        <f t="shared" si="56"/>
        <v>00110000</v>
      </c>
      <c r="D80" s="2" t="str">
        <f t="shared" si="57"/>
        <v>30</v>
      </c>
      <c r="E80" s="1"/>
      <c r="F80" s="12"/>
      <c r="G80" s="12"/>
      <c r="H80" s="11">
        <f t="shared" si="58"/>
        <v>3</v>
      </c>
      <c r="I80" s="4" t="str">
        <f t="shared" si="54"/>
        <v>00011</v>
      </c>
      <c r="J80" s="1" t="s">
        <v>51</v>
      </c>
      <c r="K80" s="11"/>
    </row>
    <row r="81" spans="1:11" x14ac:dyDescent="0.25">
      <c r="B81" s="3">
        <f t="shared" si="55"/>
        <v>48</v>
      </c>
      <c r="C81" s="4" t="str">
        <f t="shared" si="56"/>
        <v>00110000</v>
      </c>
      <c r="D81" s="2" t="str">
        <f t="shared" si="57"/>
        <v>30</v>
      </c>
      <c r="E81" s="1"/>
      <c r="F81" s="12"/>
      <c r="G81" s="12"/>
      <c r="H81" s="11">
        <f t="shared" si="58"/>
        <v>4</v>
      </c>
      <c r="I81" s="4" t="str">
        <f t="shared" si="54"/>
        <v>00100</v>
      </c>
      <c r="J81" s="1" t="s">
        <v>56</v>
      </c>
      <c r="K81" s="1"/>
    </row>
    <row r="82" spans="1:11" x14ac:dyDescent="0.25">
      <c r="B82" s="3">
        <f t="shared" si="55"/>
        <v>48</v>
      </c>
      <c r="C82" s="4" t="str">
        <f t="shared" si="56"/>
        <v>00110000</v>
      </c>
      <c r="D82" s="2" t="str">
        <f t="shared" si="57"/>
        <v>30</v>
      </c>
      <c r="E82" s="1"/>
      <c r="F82" s="12"/>
      <c r="G82" s="12"/>
      <c r="H82" s="11">
        <f t="shared" si="58"/>
        <v>5</v>
      </c>
      <c r="I82" s="4" t="str">
        <f t="shared" si="54"/>
        <v>00101</v>
      </c>
      <c r="J82" s="1" t="s">
        <v>20</v>
      </c>
      <c r="K82" s="1" t="s">
        <v>28</v>
      </c>
    </row>
    <row r="83" spans="1:11" x14ac:dyDescent="0.25">
      <c r="B83" s="3"/>
      <c r="C83" s="4"/>
      <c r="E83" s="1"/>
      <c r="F83" s="12"/>
      <c r="G83" s="12"/>
      <c r="H83" s="11"/>
      <c r="I83" s="11"/>
      <c r="J83" s="1"/>
      <c r="K83" s="1"/>
    </row>
    <row r="84" spans="1:11" x14ac:dyDescent="0.25">
      <c r="A84" t="s">
        <v>31</v>
      </c>
      <c r="B84" s="3">
        <v>49</v>
      </c>
      <c r="C84" s="4" t="str">
        <f t="shared" ref="C84:C105" si="59">TEXT(DEC2BIN(B84), "00000000")</f>
        <v>00110001</v>
      </c>
      <c r="D84" s="2" t="str">
        <f t="shared" ref="D84:D105" si="60">DEC2HEX(B84)</f>
        <v>31</v>
      </c>
      <c r="E84" s="1" t="s">
        <v>29</v>
      </c>
      <c r="F84" s="12"/>
      <c r="G84" s="12"/>
      <c r="H84" s="11">
        <v>0</v>
      </c>
      <c r="I84" s="4" t="str">
        <f t="shared" ref="I84:I105" si="61">TEXT(DEC2BIN(H84), "00000")</f>
        <v>00000</v>
      </c>
      <c r="J84" s="1" t="s">
        <v>14</v>
      </c>
      <c r="K84" s="1" t="s">
        <v>18</v>
      </c>
    </row>
    <row r="85" spans="1:11" x14ac:dyDescent="0.25">
      <c r="B85" s="3">
        <f>(B84)</f>
        <v>49</v>
      </c>
      <c r="C85" s="4" t="str">
        <f t="shared" si="59"/>
        <v>00110001</v>
      </c>
      <c r="D85" s="2" t="str">
        <f t="shared" si="60"/>
        <v>31</v>
      </c>
      <c r="E85" s="1"/>
      <c r="F85" s="12"/>
      <c r="G85" s="12"/>
      <c r="H85" s="11">
        <f t="shared" ref="H85:H94" si="62">H84+1</f>
        <v>1</v>
      </c>
      <c r="I85" s="4" t="str">
        <f t="shared" si="61"/>
        <v>00001</v>
      </c>
      <c r="J85" s="1" t="s">
        <v>13</v>
      </c>
      <c r="K85" s="1"/>
    </row>
    <row r="86" spans="1:11" x14ac:dyDescent="0.25">
      <c r="B86" s="3">
        <f t="shared" ref="B86:B94" si="63">(B85)</f>
        <v>49</v>
      </c>
      <c r="C86" s="4" t="str">
        <f t="shared" si="59"/>
        <v>00110001</v>
      </c>
      <c r="D86" s="2" t="str">
        <f t="shared" si="60"/>
        <v>31</v>
      </c>
      <c r="E86" s="1"/>
      <c r="F86" s="12"/>
      <c r="G86" s="12"/>
      <c r="H86" s="11">
        <f t="shared" si="62"/>
        <v>2</v>
      </c>
      <c r="I86" s="4" t="str">
        <f t="shared" si="61"/>
        <v>00010</v>
      </c>
      <c r="J86" s="11" t="s">
        <v>15</v>
      </c>
      <c r="K86" s="11"/>
    </row>
    <row r="87" spans="1:11" x14ac:dyDescent="0.25">
      <c r="B87" s="3">
        <f t="shared" si="63"/>
        <v>49</v>
      </c>
      <c r="C87" s="4" t="str">
        <f t="shared" si="59"/>
        <v>00110001</v>
      </c>
      <c r="D87" s="2" t="str">
        <f t="shared" si="60"/>
        <v>31</v>
      </c>
      <c r="E87" s="1"/>
      <c r="F87" s="12"/>
      <c r="G87" s="12"/>
      <c r="H87" s="11">
        <f t="shared" si="62"/>
        <v>3</v>
      </c>
      <c r="I87" s="4" t="str">
        <f t="shared" si="61"/>
        <v>00011</v>
      </c>
      <c r="J87" s="1" t="s">
        <v>47</v>
      </c>
      <c r="K87" s="11"/>
    </row>
    <row r="88" spans="1:11" x14ac:dyDescent="0.25">
      <c r="B88" s="3">
        <f t="shared" si="63"/>
        <v>49</v>
      </c>
      <c r="C88" s="4" t="str">
        <f t="shared" si="59"/>
        <v>00110001</v>
      </c>
      <c r="D88" s="2" t="str">
        <f t="shared" si="60"/>
        <v>31</v>
      </c>
      <c r="E88" s="1"/>
      <c r="F88" s="12"/>
      <c r="G88" s="12"/>
      <c r="H88" s="11">
        <f t="shared" si="62"/>
        <v>4</v>
      </c>
      <c r="I88" s="4" t="str">
        <f t="shared" si="61"/>
        <v>00100</v>
      </c>
      <c r="J88" s="1" t="s">
        <v>48</v>
      </c>
      <c r="K88" s="1"/>
    </row>
    <row r="89" spans="1:11" x14ac:dyDescent="0.25">
      <c r="B89" s="3">
        <f t="shared" si="63"/>
        <v>49</v>
      </c>
      <c r="C89" s="4" t="str">
        <f t="shared" si="59"/>
        <v>00110001</v>
      </c>
      <c r="D89" s="2" t="str">
        <f t="shared" si="60"/>
        <v>31</v>
      </c>
      <c r="E89" s="1"/>
      <c r="F89" s="12"/>
      <c r="G89" s="12"/>
      <c r="H89" s="11">
        <f t="shared" si="62"/>
        <v>5</v>
      </c>
      <c r="I89" s="4" t="str">
        <f t="shared" si="61"/>
        <v>00101</v>
      </c>
      <c r="J89" s="11" t="s">
        <v>15</v>
      </c>
      <c r="K89" s="1"/>
    </row>
    <row r="90" spans="1:11" x14ac:dyDescent="0.25">
      <c r="B90" s="3">
        <f t="shared" si="63"/>
        <v>49</v>
      </c>
      <c r="C90" s="4" t="str">
        <f t="shared" si="59"/>
        <v>00110001</v>
      </c>
      <c r="D90" s="2" t="str">
        <f t="shared" si="60"/>
        <v>31</v>
      </c>
      <c r="E90" s="1"/>
      <c r="F90" s="12"/>
      <c r="G90" s="12"/>
      <c r="H90" s="11">
        <f t="shared" si="62"/>
        <v>6</v>
      </c>
      <c r="I90" s="4" t="str">
        <f t="shared" si="61"/>
        <v>00110</v>
      </c>
      <c r="J90" s="1" t="s">
        <v>49</v>
      </c>
      <c r="K90" s="11"/>
    </row>
    <row r="91" spans="1:11" x14ac:dyDescent="0.25">
      <c r="B91" s="3">
        <f t="shared" si="63"/>
        <v>49</v>
      </c>
      <c r="C91" s="4" t="str">
        <f t="shared" si="59"/>
        <v>00110001</v>
      </c>
      <c r="D91" s="2" t="str">
        <f t="shared" si="60"/>
        <v>31</v>
      </c>
      <c r="E91" s="1"/>
      <c r="F91" s="12"/>
      <c r="G91" s="12"/>
      <c r="H91" s="11">
        <f t="shared" si="62"/>
        <v>7</v>
      </c>
      <c r="I91" s="4" t="str">
        <f t="shared" si="61"/>
        <v>00111</v>
      </c>
      <c r="J91" s="1" t="s">
        <v>59</v>
      </c>
      <c r="K91" s="11"/>
    </row>
    <row r="92" spans="1:11" x14ac:dyDescent="0.25">
      <c r="B92" s="3">
        <f t="shared" si="63"/>
        <v>49</v>
      </c>
      <c r="C92" s="4" t="str">
        <f t="shared" si="59"/>
        <v>00110001</v>
      </c>
      <c r="D92" s="2" t="str">
        <f t="shared" si="60"/>
        <v>31</v>
      </c>
      <c r="H92" s="11">
        <f t="shared" si="62"/>
        <v>8</v>
      </c>
      <c r="I92" s="4" t="str">
        <f t="shared" si="61"/>
        <v>01000</v>
      </c>
      <c r="J92" s="11" t="s">
        <v>57</v>
      </c>
      <c r="K92" s="1"/>
    </row>
    <row r="93" spans="1:11" x14ac:dyDescent="0.25">
      <c r="B93" s="3">
        <f t="shared" si="63"/>
        <v>49</v>
      </c>
      <c r="C93" s="4" t="str">
        <f t="shared" si="59"/>
        <v>00110001</v>
      </c>
      <c r="D93" s="2" t="str">
        <f t="shared" si="60"/>
        <v>31</v>
      </c>
      <c r="H93" s="11">
        <f t="shared" si="62"/>
        <v>9</v>
      </c>
      <c r="I93" s="4" t="str">
        <f t="shared" si="61"/>
        <v>01001</v>
      </c>
      <c r="J93" s="11" t="s">
        <v>58</v>
      </c>
      <c r="K93" s="1"/>
    </row>
    <row r="94" spans="1:11" x14ac:dyDescent="0.25">
      <c r="B94" s="3">
        <f t="shared" si="63"/>
        <v>49</v>
      </c>
      <c r="C94" s="4" t="str">
        <f t="shared" si="59"/>
        <v>00110001</v>
      </c>
      <c r="D94" s="2" t="str">
        <f t="shared" si="60"/>
        <v>31</v>
      </c>
      <c r="H94" s="11">
        <f t="shared" si="62"/>
        <v>10</v>
      </c>
      <c r="I94" s="4" t="str">
        <f t="shared" si="61"/>
        <v>01010</v>
      </c>
      <c r="J94" s="1" t="s">
        <v>20</v>
      </c>
      <c r="K94" s="1" t="s">
        <v>28</v>
      </c>
    </row>
    <row r="95" spans="1:11" x14ac:dyDescent="0.25">
      <c r="B95" s="3"/>
      <c r="C95" s="4"/>
      <c r="H95" s="11"/>
      <c r="I95" s="4"/>
      <c r="J95" s="1"/>
      <c r="K95" s="1"/>
    </row>
    <row r="96" spans="1:11" x14ac:dyDescent="0.25">
      <c r="A96" t="s">
        <v>118</v>
      </c>
      <c r="B96" s="3">
        <v>50</v>
      </c>
      <c r="C96" s="4" t="str">
        <f t="shared" si="59"/>
        <v>00110010</v>
      </c>
      <c r="D96" s="2" t="str">
        <f t="shared" si="60"/>
        <v>32</v>
      </c>
      <c r="E96" s="1" t="s">
        <v>52</v>
      </c>
      <c r="F96" s="12"/>
      <c r="G96" s="12"/>
      <c r="H96" s="11">
        <v>0</v>
      </c>
      <c r="I96" s="4" t="str">
        <f t="shared" si="61"/>
        <v>00000</v>
      </c>
      <c r="J96" s="1" t="s">
        <v>14</v>
      </c>
      <c r="K96" s="1" t="s">
        <v>18</v>
      </c>
    </row>
    <row r="97" spans="1:11" x14ac:dyDescent="0.25">
      <c r="B97" s="3">
        <f t="shared" ref="B97:B105" si="64">(B96)</f>
        <v>50</v>
      </c>
      <c r="C97" s="4" t="str">
        <f t="shared" si="59"/>
        <v>00110010</v>
      </c>
      <c r="D97" s="2" t="str">
        <f t="shared" si="60"/>
        <v>32</v>
      </c>
      <c r="E97" s="1"/>
      <c r="F97" s="12"/>
      <c r="G97" s="12"/>
      <c r="H97" s="11">
        <f t="shared" ref="H97:H105" si="65">H96+1</f>
        <v>1</v>
      </c>
      <c r="I97" s="4" t="str">
        <f t="shared" si="61"/>
        <v>00001</v>
      </c>
      <c r="J97" s="1" t="s">
        <v>13</v>
      </c>
      <c r="K97" s="1"/>
    </row>
    <row r="98" spans="1:11" x14ac:dyDescent="0.25">
      <c r="B98" s="3">
        <f t="shared" si="64"/>
        <v>50</v>
      </c>
      <c r="C98" s="4" t="str">
        <f t="shared" si="59"/>
        <v>00110010</v>
      </c>
      <c r="D98" s="2" t="str">
        <f t="shared" si="60"/>
        <v>32</v>
      </c>
      <c r="E98" s="1"/>
      <c r="F98" s="12"/>
      <c r="G98" s="12"/>
      <c r="H98" s="11">
        <f t="shared" si="65"/>
        <v>2</v>
      </c>
      <c r="I98" s="4" t="str">
        <f t="shared" si="61"/>
        <v>00010</v>
      </c>
      <c r="J98" s="11" t="s">
        <v>15</v>
      </c>
      <c r="K98" s="11" t="s">
        <v>25</v>
      </c>
    </row>
    <row r="99" spans="1:11" x14ac:dyDescent="0.25">
      <c r="B99" s="3">
        <f t="shared" si="64"/>
        <v>50</v>
      </c>
      <c r="C99" s="4" t="str">
        <f t="shared" si="59"/>
        <v>00110010</v>
      </c>
      <c r="D99" s="2" t="str">
        <f t="shared" si="60"/>
        <v>32</v>
      </c>
      <c r="E99" s="1"/>
      <c r="F99" s="12"/>
      <c r="G99" s="12"/>
      <c r="H99" s="11">
        <f t="shared" si="65"/>
        <v>3</v>
      </c>
      <c r="I99" s="4" t="str">
        <f t="shared" si="61"/>
        <v>00011</v>
      </c>
      <c r="J99" s="1" t="s">
        <v>49</v>
      </c>
      <c r="K99" s="11" t="s">
        <v>19</v>
      </c>
    </row>
    <row r="100" spans="1:11" x14ac:dyDescent="0.25">
      <c r="B100" s="3">
        <f t="shared" si="64"/>
        <v>50</v>
      </c>
      <c r="C100" s="4" t="str">
        <f t="shared" si="59"/>
        <v>00110010</v>
      </c>
      <c r="D100" s="2" t="str">
        <f t="shared" si="60"/>
        <v>32</v>
      </c>
      <c r="E100" s="1"/>
      <c r="F100" s="12"/>
      <c r="G100" s="12"/>
      <c r="H100" s="11">
        <f t="shared" si="65"/>
        <v>4</v>
      </c>
      <c r="I100" s="4" t="str">
        <f t="shared" si="61"/>
        <v>00100</v>
      </c>
      <c r="J100" s="1" t="s">
        <v>50</v>
      </c>
      <c r="K100" s="1"/>
    </row>
    <row r="101" spans="1:11" x14ac:dyDescent="0.25">
      <c r="B101" s="3">
        <f t="shared" si="64"/>
        <v>50</v>
      </c>
      <c r="C101" s="4" t="str">
        <f t="shared" si="59"/>
        <v>00110010</v>
      </c>
      <c r="D101" s="2" t="str">
        <f t="shared" si="60"/>
        <v>32</v>
      </c>
      <c r="E101" s="1"/>
      <c r="F101" s="12"/>
      <c r="G101" s="12"/>
      <c r="H101" s="11">
        <f t="shared" si="65"/>
        <v>5</v>
      </c>
      <c r="I101" s="4" t="str">
        <f t="shared" si="61"/>
        <v>00101</v>
      </c>
      <c r="J101" s="11" t="s">
        <v>15</v>
      </c>
      <c r="K101" s="11" t="s">
        <v>25</v>
      </c>
    </row>
    <row r="102" spans="1:11" x14ac:dyDescent="0.25">
      <c r="B102" s="3">
        <f t="shared" si="64"/>
        <v>50</v>
      </c>
      <c r="C102" s="4" t="str">
        <f t="shared" si="59"/>
        <v>00110010</v>
      </c>
      <c r="D102" s="2" t="str">
        <f t="shared" si="60"/>
        <v>32</v>
      </c>
      <c r="E102" s="1"/>
      <c r="F102" s="12"/>
      <c r="G102" s="12"/>
      <c r="H102" s="11">
        <f t="shared" si="65"/>
        <v>6</v>
      </c>
      <c r="I102" s="4" t="str">
        <f t="shared" si="61"/>
        <v>00110</v>
      </c>
      <c r="J102" s="1" t="s">
        <v>47</v>
      </c>
      <c r="K102" s="11" t="s">
        <v>21</v>
      </c>
    </row>
    <row r="103" spans="1:11" x14ac:dyDescent="0.25">
      <c r="B103" s="3">
        <f t="shared" si="64"/>
        <v>50</v>
      </c>
      <c r="C103" s="4" t="str">
        <f t="shared" si="59"/>
        <v>00110010</v>
      </c>
      <c r="D103" s="2" t="str">
        <f t="shared" si="60"/>
        <v>32</v>
      </c>
      <c r="E103" s="1"/>
      <c r="F103" s="12"/>
      <c r="G103" s="12"/>
      <c r="H103" s="11">
        <f t="shared" si="65"/>
        <v>7</v>
      </c>
      <c r="I103" s="4" t="str">
        <f t="shared" si="61"/>
        <v>00111</v>
      </c>
      <c r="J103" s="1" t="s">
        <v>48</v>
      </c>
      <c r="K103" s="11"/>
    </row>
    <row r="104" spans="1:11" x14ac:dyDescent="0.25">
      <c r="B104" s="3">
        <f t="shared" si="64"/>
        <v>50</v>
      </c>
      <c r="C104" s="4" t="str">
        <f t="shared" si="59"/>
        <v>00110010</v>
      </c>
      <c r="D104" s="2" t="str">
        <f t="shared" si="60"/>
        <v>32</v>
      </c>
      <c r="H104" s="11">
        <f t="shared" si="65"/>
        <v>8</v>
      </c>
      <c r="I104" s="4" t="str">
        <f t="shared" si="61"/>
        <v>01000</v>
      </c>
      <c r="J104" s="11" t="s">
        <v>53</v>
      </c>
      <c r="K104" s="11" t="s">
        <v>55</v>
      </c>
    </row>
    <row r="105" spans="1:11" x14ac:dyDescent="0.25">
      <c r="B105" s="3">
        <f t="shared" si="64"/>
        <v>50</v>
      </c>
      <c r="C105" s="4" t="str">
        <f t="shared" si="59"/>
        <v>00110010</v>
      </c>
      <c r="D105" s="2" t="str">
        <f t="shared" si="60"/>
        <v>32</v>
      </c>
      <c r="H105" s="11">
        <f t="shared" si="65"/>
        <v>9</v>
      </c>
      <c r="I105" s="4" t="str">
        <f t="shared" si="61"/>
        <v>01001</v>
      </c>
      <c r="J105" s="1" t="s">
        <v>20</v>
      </c>
      <c r="K105" s="1" t="s">
        <v>28</v>
      </c>
    </row>
    <row r="106" spans="1:11" x14ac:dyDescent="0.25">
      <c r="B106" s="3"/>
      <c r="C106" s="4"/>
      <c r="H106" s="11"/>
      <c r="I106" s="4"/>
      <c r="J106" s="1"/>
      <c r="K106" s="1"/>
    </row>
    <row r="107" spans="1:11" s="50" customFormat="1" ht="15" customHeight="1" x14ac:dyDescent="0.25">
      <c r="A107" s="44" t="s">
        <v>77</v>
      </c>
      <c r="B107" s="51">
        <v>51</v>
      </c>
      <c r="C107" s="4" t="str">
        <f t="shared" ref="C107:C109" si="66">TEXT(DEC2BIN(B107), "00000000")</f>
        <v>00110011</v>
      </c>
      <c r="D107" s="2" t="str">
        <f>DEC2HEX(B107)</f>
        <v>33</v>
      </c>
      <c r="E107" s="54" t="s">
        <v>124</v>
      </c>
      <c r="F107" s="55"/>
      <c r="G107" s="55"/>
      <c r="H107" s="11">
        <v>0</v>
      </c>
      <c r="I107" s="4" t="str">
        <f>TEXT(DEC2BIN(H107), "00000")</f>
        <v>00000</v>
      </c>
      <c r="J107" s="1" t="s">
        <v>14</v>
      </c>
      <c r="K107" s="54"/>
    </row>
    <row r="108" spans="1:11" s="50" customFormat="1" ht="15" customHeight="1" x14ac:dyDescent="0.25">
      <c r="A108" s="44"/>
      <c r="B108" s="3">
        <f t="shared" ref="B108:B109" si="67">(B107)</f>
        <v>51</v>
      </c>
      <c r="C108" s="4" t="str">
        <f t="shared" si="66"/>
        <v>00110011</v>
      </c>
      <c r="D108" s="2" t="str">
        <f t="shared" ref="D108:D109" si="68">DEC2HEX(B108)</f>
        <v>33</v>
      </c>
      <c r="E108" s="54"/>
      <c r="F108" s="55"/>
      <c r="G108" s="55"/>
      <c r="H108" s="11">
        <f t="shared" ref="H108:H109" si="69">H107+1</f>
        <v>1</v>
      </c>
      <c r="I108" s="4" t="str">
        <f>TEXT(DEC2BIN(H108), "00000")</f>
        <v>00001</v>
      </c>
      <c r="J108" s="1" t="s">
        <v>13</v>
      </c>
      <c r="K108" s="54"/>
    </row>
    <row r="109" spans="1:11" x14ac:dyDescent="0.25">
      <c r="B109" s="3">
        <f t="shared" si="67"/>
        <v>51</v>
      </c>
      <c r="C109" s="4" t="str">
        <f t="shared" si="66"/>
        <v>00110011</v>
      </c>
      <c r="D109" s="2" t="str">
        <f t="shared" si="68"/>
        <v>33</v>
      </c>
      <c r="H109" s="11">
        <f t="shared" si="69"/>
        <v>2</v>
      </c>
      <c r="I109" s="4" t="str">
        <f>TEXT(DEC2BIN(H109), "00000")</f>
        <v>00010</v>
      </c>
      <c r="J109" s="1" t="s">
        <v>20</v>
      </c>
      <c r="K109" s="1" t="s">
        <v>28</v>
      </c>
    </row>
    <row r="110" spans="1:11" s="50" customFormat="1" ht="15" customHeight="1" x14ac:dyDescent="0.25">
      <c r="A110" s="44"/>
      <c r="B110" s="51"/>
      <c r="C110" s="52"/>
      <c r="D110" s="53"/>
      <c r="E110" s="54"/>
      <c r="F110" s="55"/>
      <c r="G110" s="55"/>
      <c r="H110" s="11"/>
      <c r="I110" s="4"/>
      <c r="J110" s="1"/>
      <c r="K110" s="54"/>
    </row>
    <row r="111" spans="1:11" s="50" customFormat="1" ht="15" customHeight="1" x14ac:dyDescent="0.25">
      <c r="A111" s="44" t="s">
        <v>78</v>
      </c>
      <c r="B111" s="45">
        <v>52</v>
      </c>
      <c r="C111" s="4" t="str">
        <f t="shared" ref="C111:C113" si="70">TEXT(DEC2BIN(B111), "00000000")</f>
        <v>00110100</v>
      </c>
      <c r="D111" s="2" t="str">
        <f>DEC2HEX(B111)</f>
        <v>34</v>
      </c>
      <c r="E111" s="48" t="s">
        <v>125</v>
      </c>
      <c r="F111" s="49"/>
      <c r="G111" s="49"/>
      <c r="H111" s="11">
        <v>0</v>
      </c>
      <c r="I111" s="4" t="str">
        <f>TEXT(DEC2BIN(H111), "00000")</f>
        <v>00000</v>
      </c>
      <c r="J111" s="1" t="s">
        <v>14</v>
      </c>
      <c r="K111" s="48"/>
    </row>
    <row r="112" spans="1:11" s="50" customFormat="1" ht="15" customHeight="1" x14ac:dyDescent="0.25">
      <c r="A112" s="44"/>
      <c r="B112" s="3">
        <f t="shared" ref="B112:B113" si="71">(B111)</f>
        <v>52</v>
      </c>
      <c r="C112" s="4" t="str">
        <f t="shared" si="70"/>
        <v>00110100</v>
      </c>
      <c r="D112" s="2" t="str">
        <f t="shared" ref="D112:D113" si="72">DEC2HEX(B112)</f>
        <v>34</v>
      </c>
      <c r="E112" s="48"/>
      <c r="F112" s="49"/>
      <c r="G112" s="49"/>
      <c r="H112" s="11">
        <f t="shared" ref="H112:H113" si="73">H111+1</f>
        <v>1</v>
      </c>
      <c r="I112" s="4" t="str">
        <f>TEXT(DEC2BIN(H112), "00000")</f>
        <v>00001</v>
      </c>
      <c r="J112" s="1" t="s">
        <v>13</v>
      </c>
      <c r="K112" s="48"/>
    </row>
    <row r="113" spans="1:11" x14ac:dyDescent="0.25">
      <c r="B113" s="3">
        <f t="shared" si="71"/>
        <v>52</v>
      </c>
      <c r="C113" s="4" t="str">
        <f t="shared" si="70"/>
        <v>00110100</v>
      </c>
      <c r="D113" s="2" t="str">
        <f t="shared" si="72"/>
        <v>34</v>
      </c>
      <c r="H113" s="11">
        <f t="shared" si="73"/>
        <v>2</v>
      </c>
      <c r="I113" s="4" t="str">
        <f>TEXT(DEC2BIN(H113), "00000")</f>
        <v>00010</v>
      </c>
      <c r="J113" s="1" t="s">
        <v>20</v>
      </c>
      <c r="K113" s="1" t="s">
        <v>28</v>
      </c>
    </row>
    <row r="114" spans="1:11" s="50" customFormat="1" ht="15" customHeight="1" x14ac:dyDescent="0.25">
      <c r="A114" s="44"/>
      <c r="B114" s="45"/>
      <c r="C114" s="46"/>
      <c r="D114" s="47"/>
      <c r="E114" s="48"/>
      <c r="F114" s="49"/>
      <c r="G114" s="49"/>
      <c r="H114" s="11"/>
      <c r="I114" s="4"/>
      <c r="J114" s="1"/>
      <c r="K114" s="48"/>
    </row>
    <row r="115" spans="1:11" s="50" customFormat="1" ht="15" customHeight="1" x14ac:dyDescent="0.25">
      <c r="A115" s="44" t="s">
        <v>79</v>
      </c>
      <c r="B115" s="51">
        <v>53</v>
      </c>
      <c r="C115" s="4" t="str">
        <f t="shared" ref="C115:C117" si="74">TEXT(DEC2BIN(B115), "00000000")</f>
        <v>00110101</v>
      </c>
      <c r="D115" s="2" t="str">
        <f>DEC2HEX(B115)</f>
        <v>35</v>
      </c>
      <c r="E115" s="54" t="s">
        <v>126</v>
      </c>
      <c r="F115" s="55"/>
      <c r="G115" s="55"/>
      <c r="H115" s="11">
        <v>0</v>
      </c>
      <c r="I115" s="4" t="str">
        <f>TEXT(DEC2BIN(H115), "00000")</f>
        <v>00000</v>
      </c>
      <c r="J115" s="1" t="s">
        <v>14</v>
      </c>
      <c r="K115" s="54"/>
    </row>
    <row r="116" spans="1:11" s="50" customFormat="1" ht="15" customHeight="1" x14ac:dyDescent="0.25">
      <c r="A116" s="44"/>
      <c r="B116" s="3">
        <f t="shared" ref="B116:B117" si="75">(B115)</f>
        <v>53</v>
      </c>
      <c r="C116" s="4" t="str">
        <f t="shared" si="74"/>
        <v>00110101</v>
      </c>
      <c r="D116" s="2" t="str">
        <f t="shared" ref="D116:D117" si="76">DEC2HEX(B116)</f>
        <v>35</v>
      </c>
      <c r="E116" s="54"/>
      <c r="F116" s="55"/>
      <c r="G116" s="55"/>
      <c r="H116" s="11">
        <f t="shared" ref="H116:H117" si="77">H115+1</f>
        <v>1</v>
      </c>
      <c r="I116" s="4" t="str">
        <f>TEXT(DEC2BIN(H116), "00000")</f>
        <v>00001</v>
      </c>
      <c r="J116" s="1" t="s">
        <v>13</v>
      </c>
      <c r="K116" s="54"/>
    </row>
    <row r="117" spans="1:11" x14ac:dyDescent="0.25">
      <c r="B117" s="3">
        <f t="shared" si="75"/>
        <v>53</v>
      </c>
      <c r="C117" s="4" t="str">
        <f t="shared" si="74"/>
        <v>00110101</v>
      </c>
      <c r="D117" s="2" t="str">
        <f t="shared" si="76"/>
        <v>35</v>
      </c>
      <c r="H117" s="11">
        <f t="shared" si="77"/>
        <v>2</v>
      </c>
      <c r="I117" s="4" t="str">
        <f>TEXT(DEC2BIN(H117), "00000")</f>
        <v>00010</v>
      </c>
      <c r="J117" s="1" t="s">
        <v>20</v>
      </c>
      <c r="K117" s="1" t="s">
        <v>28</v>
      </c>
    </row>
    <row r="118" spans="1:11" s="50" customFormat="1" ht="15" customHeight="1" x14ac:dyDescent="0.25">
      <c r="A118" s="44"/>
      <c r="B118" s="51"/>
      <c r="C118" s="52"/>
      <c r="D118" s="53"/>
      <c r="E118" s="54"/>
      <c r="F118" s="55"/>
      <c r="G118" s="55"/>
      <c r="H118" s="11"/>
      <c r="I118" s="4"/>
      <c r="J118" s="1"/>
      <c r="K118" s="54"/>
    </row>
    <row r="119" spans="1:11" s="50" customFormat="1" ht="15" customHeight="1" x14ac:dyDescent="0.25">
      <c r="A119" s="44" t="s">
        <v>80</v>
      </c>
      <c r="B119" s="45">
        <v>54</v>
      </c>
      <c r="C119" s="4" t="str">
        <f t="shared" ref="C119:C121" si="78">TEXT(DEC2BIN(B119), "00000000")</f>
        <v>00110110</v>
      </c>
      <c r="D119" s="2" t="str">
        <f>DEC2HEX(B119)</f>
        <v>36</v>
      </c>
      <c r="E119" s="48" t="s">
        <v>128</v>
      </c>
      <c r="F119" s="49"/>
      <c r="G119" s="49"/>
      <c r="H119" s="11">
        <v>0</v>
      </c>
      <c r="I119" s="4" t="str">
        <f>TEXT(DEC2BIN(H119), "00000")</f>
        <v>00000</v>
      </c>
      <c r="J119" s="1" t="s">
        <v>14</v>
      </c>
      <c r="K119" s="48"/>
    </row>
    <row r="120" spans="1:11" s="50" customFormat="1" ht="15" customHeight="1" x14ac:dyDescent="0.25">
      <c r="A120" s="44"/>
      <c r="B120" s="3">
        <f t="shared" ref="B120:B121" si="79">(B119)</f>
        <v>54</v>
      </c>
      <c r="C120" s="4" t="str">
        <f t="shared" si="78"/>
        <v>00110110</v>
      </c>
      <c r="D120" s="2" t="str">
        <f t="shared" ref="D120:D121" si="80">DEC2HEX(B120)</f>
        <v>36</v>
      </c>
      <c r="E120" s="48"/>
      <c r="F120" s="49"/>
      <c r="G120" s="49"/>
      <c r="H120" s="11">
        <f t="shared" ref="H120:H121" si="81">H119+1</f>
        <v>1</v>
      </c>
      <c r="I120" s="4" t="str">
        <f>TEXT(DEC2BIN(H120), "00000")</f>
        <v>00001</v>
      </c>
      <c r="J120" s="1" t="s">
        <v>13</v>
      </c>
      <c r="K120" s="48"/>
    </row>
    <row r="121" spans="1:11" x14ac:dyDescent="0.25">
      <c r="B121" s="3">
        <f t="shared" si="79"/>
        <v>54</v>
      </c>
      <c r="C121" s="4" t="str">
        <f t="shared" si="78"/>
        <v>00110110</v>
      </c>
      <c r="D121" s="2" t="str">
        <f t="shared" si="80"/>
        <v>36</v>
      </c>
      <c r="H121" s="11">
        <f t="shared" si="81"/>
        <v>2</v>
      </c>
      <c r="I121" s="4" t="str">
        <f>TEXT(DEC2BIN(H121), "00000")</f>
        <v>00010</v>
      </c>
      <c r="J121" s="1" t="s">
        <v>20</v>
      </c>
      <c r="K121" s="1" t="s">
        <v>28</v>
      </c>
    </row>
    <row r="122" spans="1:11" s="50" customFormat="1" ht="15" customHeight="1" x14ac:dyDescent="0.25">
      <c r="A122" s="44"/>
      <c r="B122" s="45"/>
      <c r="C122" s="46"/>
      <c r="D122" s="47"/>
      <c r="E122" s="48"/>
      <c r="F122" s="49"/>
      <c r="G122" s="49"/>
      <c r="H122" s="11"/>
      <c r="I122" s="4"/>
      <c r="J122" s="1"/>
      <c r="K122" s="48"/>
    </row>
    <row r="123" spans="1:11" s="50" customFormat="1" ht="15" customHeight="1" x14ac:dyDescent="0.25">
      <c r="A123" s="44" t="s">
        <v>81</v>
      </c>
      <c r="B123" s="51">
        <v>55</v>
      </c>
      <c r="C123" s="4" t="str">
        <f t="shared" ref="C123:C125" si="82">TEXT(DEC2BIN(B123), "00000000")</f>
        <v>00110111</v>
      </c>
      <c r="D123" s="2" t="str">
        <f>DEC2HEX(B123)</f>
        <v>37</v>
      </c>
      <c r="E123" s="54" t="s">
        <v>127</v>
      </c>
      <c r="F123" s="55"/>
      <c r="G123" s="55"/>
      <c r="H123" s="11">
        <v>0</v>
      </c>
      <c r="I123" s="4" t="str">
        <f>TEXT(DEC2BIN(H123), "00000")</f>
        <v>00000</v>
      </c>
      <c r="J123" s="1" t="s">
        <v>14</v>
      </c>
      <c r="K123" s="54"/>
    </row>
    <row r="124" spans="1:11" s="50" customFormat="1" ht="15" customHeight="1" x14ac:dyDescent="0.25">
      <c r="A124" s="44"/>
      <c r="B124" s="3">
        <f t="shared" ref="B124:B125" si="83">(B123)</f>
        <v>55</v>
      </c>
      <c r="C124" s="4" t="str">
        <f t="shared" si="82"/>
        <v>00110111</v>
      </c>
      <c r="D124" s="2" t="str">
        <f t="shared" ref="D124:D125" si="84">DEC2HEX(B124)</f>
        <v>37</v>
      </c>
      <c r="E124" s="54"/>
      <c r="F124" s="55"/>
      <c r="G124" s="55"/>
      <c r="H124" s="11">
        <f t="shared" ref="H124:H125" si="85">H123+1</f>
        <v>1</v>
      </c>
      <c r="I124" s="4" t="str">
        <f>TEXT(DEC2BIN(H124), "00000")</f>
        <v>00001</v>
      </c>
      <c r="J124" s="1" t="s">
        <v>13</v>
      </c>
      <c r="K124" s="54"/>
    </row>
    <row r="125" spans="1:11" x14ac:dyDescent="0.25">
      <c r="B125" s="3">
        <f t="shared" si="83"/>
        <v>55</v>
      </c>
      <c r="C125" s="4" t="str">
        <f t="shared" si="82"/>
        <v>00110111</v>
      </c>
      <c r="D125" s="2" t="str">
        <f t="shared" si="84"/>
        <v>37</v>
      </c>
      <c r="H125" s="11">
        <f t="shared" si="85"/>
        <v>2</v>
      </c>
      <c r="I125" s="4" t="str">
        <f>TEXT(DEC2BIN(H125), "00000")</f>
        <v>00010</v>
      </c>
      <c r="J125" s="1" t="s">
        <v>20</v>
      </c>
      <c r="K125" s="1" t="s">
        <v>28</v>
      </c>
    </row>
    <row r="126" spans="1:11" x14ac:dyDescent="0.25">
      <c r="B126" s="3"/>
      <c r="C126" s="4"/>
      <c r="H126" s="11"/>
      <c r="I126" s="4"/>
      <c r="J126" s="1"/>
      <c r="K126" s="1"/>
    </row>
    <row r="127" spans="1:11" s="88" customFormat="1" x14ac:dyDescent="0.25">
      <c r="A127" s="83" t="s">
        <v>66</v>
      </c>
      <c r="B127" s="84">
        <v>64</v>
      </c>
      <c r="C127" s="79" t="str">
        <f t="shared" ref="C127:C132" si="86">TEXT(DEC2BIN(B127), "00000000")</f>
        <v>01000000</v>
      </c>
      <c r="D127" s="80" t="str">
        <f>DEC2HEX(B127)</f>
        <v>40</v>
      </c>
      <c r="E127" s="85" t="s">
        <v>129</v>
      </c>
      <c r="F127" s="86"/>
      <c r="G127" s="86"/>
      <c r="H127" s="87">
        <v>0</v>
      </c>
      <c r="I127" s="79" t="str">
        <f>TEXT(DEC2BIN(H127), "00000")</f>
        <v>00000</v>
      </c>
      <c r="J127" s="81" t="s">
        <v>14</v>
      </c>
      <c r="K127" s="85"/>
    </row>
    <row r="128" spans="1:11" s="50" customFormat="1" x14ac:dyDescent="0.25">
      <c r="A128" s="44"/>
      <c r="B128" s="3">
        <f t="shared" ref="B128:B131" si="87">(B127)</f>
        <v>64</v>
      </c>
      <c r="C128" s="4" t="str">
        <f t="shared" si="86"/>
        <v>01000000</v>
      </c>
      <c r="D128" s="2" t="str">
        <f t="shared" ref="D128:D132" si="88">DEC2HEX(B128)</f>
        <v>40</v>
      </c>
      <c r="E128" s="48"/>
      <c r="F128" s="49"/>
      <c r="G128" s="49"/>
      <c r="H128" s="11">
        <f t="shared" ref="H128:H131" si="89">H127+1</f>
        <v>1</v>
      </c>
      <c r="I128" s="4" t="str">
        <f>TEXT(DEC2BIN(H128), "00000")</f>
        <v>00001</v>
      </c>
      <c r="J128" s="1" t="s">
        <v>13</v>
      </c>
      <c r="K128" s="48"/>
    </row>
    <row r="129" spans="1:11" x14ac:dyDescent="0.25">
      <c r="B129" s="3">
        <f t="shared" si="87"/>
        <v>64</v>
      </c>
      <c r="C129" s="4" t="str">
        <f t="shared" si="86"/>
        <v>01000000</v>
      </c>
      <c r="D129" s="2" t="str">
        <f t="shared" si="88"/>
        <v>40</v>
      </c>
      <c r="E129" s="1"/>
      <c r="F129" s="12"/>
      <c r="G129" s="12"/>
      <c r="H129" s="11">
        <f t="shared" si="89"/>
        <v>2</v>
      </c>
      <c r="I129" s="4" t="str">
        <f>TEXT(DEC2BIN(H129), "00000")</f>
        <v>00010</v>
      </c>
      <c r="J129" s="11" t="s">
        <v>15</v>
      </c>
      <c r="K129" s="11"/>
    </row>
    <row r="130" spans="1:11" x14ac:dyDescent="0.25">
      <c r="B130" s="3">
        <f t="shared" si="87"/>
        <v>64</v>
      </c>
      <c r="C130" s="4" t="str">
        <f t="shared" si="86"/>
        <v>01000000</v>
      </c>
      <c r="D130" s="2" t="str">
        <f t="shared" si="88"/>
        <v>40</v>
      </c>
      <c r="E130" s="1"/>
      <c r="F130" s="12"/>
      <c r="G130" s="12"/>
      <c r="H130" s="11">
        <f t="shared" si="89"/>
        <v>3</v>
      </c>
      <c r="I130" s="4" t="str">
        <f>TEXT(DEC2BIN(H130), "00000")</f>
        <v>00011</v>
      </c>
      <c r="J130" s="1" t="s">
        <v>109</v>
      </c>
      <c r="K130" s="11"/>
    </row>
    <row r="131" spans="1:11" x14ac:dyDescent="0.25">
      <c r="B131" s="3">
        <f t="shared" si="87"/>
        <v>64</v>
      </c>
      <c r="C131" s="4" t="str">
        <f t="shared" si="86"/>
        <v>01000000</v>
      </c>
      <c r="D131" s="2" t="str">
        <f t="shared" si="88"/>
        <v>40</v>
      </c>
      <c r="E131" s="1"/>
      <c r="F131" s="12"/>
      <c r="G131" s="12"/>
      <c r="H131" s="11">
        <f t="shared" si="89"/>
        <v>4</v>
      </c>
      <c r="I131" s="4" t="str">
        <f>TEXT(DEC2BIN(H131), "00000")</f>
        <v>00100</v>
      </c>
      <c r="J131" s="1" t="s">
        <v>110</v>
      </c>
      <c r="K131" s="1"/>
    </row>
    <row r="132" spans="1:11" x14ac:dyDescent="0.25">
      <c r="B132" s="3">
        <f>(B128)</f>
        <v>64</v>
      </c>
      <c r="C132" s="4" t="str">
        <f t="shared" si="86"/>
        <v>01000000</v>
      </c>
      <c r="D132" s="2" t="str">
        <f t="shared" si="88"/>
        <v>40</v>
      </c>
      <c r="H132" s="11">
        <f>H128+1</f>
        <v>2</v>
      </c>
      <c r="I132" s="4" t="str">
        <f>TEXT(DEC2BIN(H132), "00000")</f>
        <v>00010</v>
      </c>
      <c r="J132" s="1" t="s">
        <v>20</v>
      </c>
      <c r="K132" s="1" t="s">
        <v>28</v>
      </c>
    </row>
    <row r="133" spans="1:11" s="50" customFormat="1" x14ac:dyDescent="0.25">
      <c r="A133" s="44"/>
      <c r="B133" s="45"/>
      <c r="C133" s="46"/>
      <c r="D133" s="47"/>
      <c r="E133" s="48"/>
      <c r="F133" s="49"/>
      <c r="G133" s="49"/>
      <c r="H133" s="11"/>
      <c r="I133" s="4"/>
      <c r="J133" s="1"/>
      <c r="K133" s="48"/>
    </row>
    <row r="134" spans="1:11" s="50" customFormat="1" x14ac:dyDescent="0.25">
      <c r="A134" s="44" t="s">
        <v>67</v>
      </c>
      <c r="B134" s="51">
        <v>65</v>
      </c>
      <c r="C134" s="4" t="str">
        <f t="shared" ref="C134:C136" si="90">TEXT(DEC2BIN(B134), "00000000")</f>
        <v>01000001</v>
      </c>
      <c r="D134" s="2" t="str">
        <f>DEC2HEX(B134)</f>
        <v>41</v>
      </c>
      <c r="E134" s="54"/>
      <c r="F134" s="55"/>
      <c r="G134" s="55"/>
      <c r="H134" s="11">
        <v>0</v>
      </c>
      <c r="I134" s="4" t="str">
        <f>TEXT(DEC2BIN(H134), "00000")</f>
        <v>00000</v>
      </c>
      <c r="J134" s="1" t="s">
        <v>14</v>
      </c>
      <c r="K134" s="54"/>
    </row>
    <row r="135" spans="1:11" s="50" customFormat="1" x14ac:dyDescent="0.25">
      <c r="A135" s="44"/>
      <c r="B135" s="3">
        <f t="shared" ref="B135:B136" si="91">(B134)</f>
        <v>65</v>
      </c>
      <c r="C135" s="4" t="str">
        <f t="shared" si="90"/>
        <v>01000001</v>
      </c>
      <c r="D135" s="2" t="str">
        <f t="shared" ref="D135:D136" si="92">DEC2HEX(B135)</f>
        <v>41</v>
      </c>
      <c r="E135" s="54"/>
      <c r="F135" s="55"/>
      <c r="G135" s="55"/>
      <c r="H135" s="11">
        <f t="shared" ref="H135:H136" si="93">H134+1</f>
        <v>1</v>
      </c>
      <c r="I135" s="4" t="str">
        <f>TEXT(DEC2BIN(H135), "00000")</f>
        <v>00001</v>
      </c>
      <c r="J135" s="1" t="s">
        <v>13</v>
      </c>
      <c r="K135" s="54"/>
    </row>
    <row r="136" spans="1:11" x14ac:dyDescent="0.25">
      <c r="B136" s="3">
        <f t="shared" si="91"/>
        <v>65</v>
      </c>
      <c r="C136" s="4" t="str">
        <f t="shared" si="90"/>
        <v>01000001</v>
      </c>
      <c r="D136" s="2" t="str">
        <f t="shared" si="92"/>
        <v>41</v>
      </c>
      <c r="H136" s="11">
        <f t="shared" si="93"/>
        <v>2</v>
      </c>
      <c r="I136" s="4" t="str">
        <f>TEXT(DEC2BIN(H136), "00000")</f>
        <v>00010</v>
      </c>
      <c r="J136" s="1" t="s">
        <v>20</v>
      </c>
      <c r="K136" s="1" t="s">
        <v>28</v>
      </c>
    </row>
    <row r="137" spans="1:11" s="50" customFormat="1" x14ac:dyDescent="0.25">
      <c r="A137" s="44"/>
      <c r="B137" s="51"/>
      <c r="C137" s="52"/>
      <c r="D137" s="53"/>
      <c r="E137" s="54"/>
      <c r="F137" s="55"/>
      <c r="G137" s="55"/>
      <c r="H137" s="11"/>
      <c r="I137" s="4"/>
      <c r="J137" s="1"/>
      <c r="K137" s="54"/>
    </row>
    <row r="138" spans="1:11" s="50" customFormat="1" x14ac:dyDescent="0.25">
      <c r="A138" s="44" t="s">
        <v>68</v>
      </c>
      <c r="B138" s="45">
        <v>66</v>
      </c>
      <c r="C138" s="4" t="str">
        <f t="shared" ref="C138:C140" si="94">TEXT(DEC2BIN(B138), "00000000")</f>
        <v>01000010</v>
      </c>
      <c r="D138" s="2" t="str">
        <f>DEC2HEX(B138)</f>
        <v>42</v>
      </c>
      <c r="E138" s="48"/>
      <c r="F138" s="49"/>
      <c r="G138" s="49"/>
      <c r="H138" s="11">
        <v>0</v>
      </c>
      <c r="I138" s="4" t="str">
        <f>TEXT(DEC2BIN(H138), "00000")</f>
        <v>00000</v>
      </c>
      <c r="J138" s="1" t="s">
        <v>14</v>
      </c>
      <c r="K138" s="48"/>
    </row>
    <row r="139" spans="1:11" s="50" customFormat="1" x14ac:dyDescent="0.25">
      <c r="A139" s="44"/>
      <c r="B139" s="3">
        <f t="shared" ref="B139:B140" si="95">(B138)</f>
        <v>66</v>
      </c>
      <c r="C139" s="4" t="str">
        <f t="shared" si="94"/>
        <v>01000010</v>
      </c>
      <c r="D139" s="2" t="str">
        <f t="shared" ref="D139:D140" si="96">DEC2HEX(B139)</f>
        <v>42</v>
      </c>
      <c r="E139" s="48"/>
      <c r="F139" s="49"/>
      <c r="G139" s="49"/>
      <c r="H139" s="11">
        <f t="shared" ref="H139:H140" si="97">H138+1</f>
        <v>1</v>
      </c>
      <c r="I139" s="4" t="str">
        <f>TEXT(DEC2BIN(H139), "00000")</f>
        <v>00001</v>
      </c>
      <c r="J139" s="1" t="s">
        <v>13</v>
      </c>
      <c r="K139" s="48"/>
    </row>
    <row r="140" spans="1:11" x14ac:dyDescent="0.25">
      <c r="B140" s="3">
        <f t="shared" si="95"/>
        <v>66</v>
      </c>
      <c r="C140" s="4" t="str">
        <f t="shared" si="94"/>
        <v>01000010</v>
      </c>
      <c r="D140" s="2" t="str">
        <f t="shared" si="96"/>
        <v>42</v>
      </c>
      <c r="H140" s="11">
        <f t="shared" si="97"/>
        <v>2</v>
      </c>
      <c r="I140" s="4" t="str">
        <f>TEXT(DEC2BIN(H140), "00000")</f>
        <v>00010</v>
      </c>
      <c r="J140" s="1" t="s">
        <v>20</v>
      </c>
      <c r="K140" s="1" t="s">
        <v>28</v>
      </c>
    </row>
    <row r="141" spans="1:11" x14ac:dyDescent="0.25">
      <c r="B141" s="3"/>
      <c r="C141" s="4"/>
      <c r="H141" s="11"/>
      <c r="I141" s="4"/>
      <c r="J141" s="1"/>
      <c r="K141" s="1"/>
    </row>
    <row r="142" spans="1:11" s="50" customFormat="1" ht="15" customHeight="1" x14ac:dyDescent="0.25">
      <c r="A142" s="44" t="s">
        <v>82</v>
      </c>
      <c r="B142" s="45">
        <v>67</v>
      </c>
      <c r="C142" s="4" t="str">
        <f t="shared" ref="C142:C144" si="98">TEXT(DEC2BIN(B142), "00000000")</f>
        <v>01000011</v>
      </c>
      <c r="D142" s="2" t="str">
        <f>DEC2HEX(B142)</f>
        <v>43</v>
      </c>
      <c r="E142" s="48"/>
      <c r="F142" s="49"/>
      <c r="G142" s="49"/>
      <c r="H142" s="11">
        <v>0</v>
      </c>
      <c r="I142" s="4" t="str">
        <f>TEXT(DEC2BIN(H142), "00000")</f>
        <v>00000</v>
      </c>
      <c r="J142" s="1" t="s">
        <v>14</v>
      </c>
      <c r="K142" s="48"/>
    </row>
    <row r="143" spans="1:11" s="50" customFormat="1" ht="15" customHeight="1" x14ac:dyDescent="0.25">
      <c r="A143" s="44"/>
      <c r="B143" s="3">
        <f t="shared" ref="B143:B144" si="99">(B142)</f>
        <v>67</v>
      </c>
      <c r="C143" s="4" t="str">
        <f t="shared" si="98"/>
        <v>01000011</v>
      </c>
      <c r="D143" s="2" t="str">
        <f t="shared" ref="D143:D144" si="100">DEC2HEX(B143)</f>
        <v>43</v>
      </c>
      <c r="E143" s="48"/>
      <c r="F143" s="49"/>
      <c r="G143" s="49"/>
      <c r="H143" s="11">
        <f t="shared" ref="H143:H144" si="101">H142+1</f>
        <v>1</v>
      </c>
      <c r="I143" s="4" t="str">
        <f>TEXT(DEC2BIN(H143), "00000")</f>
        <v>00001</v>
      </c>
      <c r="J143" s="1" t="s">
        <v>13</v>
      </c>
      <c r="K143" s="48"/>
    </row>
    <row r="144" spans="1:11" x14ac:dyDescent="0.25">
      <c r="B144" s="3">
        <f t="shared" si="99"/>
        <v>67</v>
      </c>
      <c r="C144" s="4" t="str">
        <f t="shared" si="98"/>
        <v>01000011</v>
      </c>
      <c r="D144" s="2" t="str">
        <f t="shared" si="100"/>
        <v>43</v>
      </c>
      <c r="H144" s="11">
        <f t="shared" si="101"/>
        <v>2</v>
      </c>
      <c r="I144" s="4" t="str">
        <f>TEXT(DEC2BIN(H144), "00000")</f>
        <v>00010</v>
      </c>
      <c r="J144" s="1" t="s">
        <v>20</v>
      </c>
      <c r="K144" s="1" t="s">
        <v>28</v>
      </c>
    </row>
    <row r="145" spans="1:11" s="50" customFormat="1" ht="15" customHeight="1" x14ac:dyDescent="0.25">
      <c r="A145" s="44"/>
      <c r="B145" s="45"/>
      <c r="C145" s="46"/>
      <c r="D145" s="47"/>
      <c r="E145" s="48"/>
      <c r="F145" s="49"/>
      <c r="G145" s="49"/>
      <c r="H145" s="11"/>
      <c r="I145" s="4"/>
      <c r="J145" s="1"/>
      <c r="K145" s="48"/>
    </row>
    <row r="146" spans="1:11" s="50" customFormat="1" ht="15" customHeight="1" x14ac:dyDescent="0.25">
      <c r="A146" s="44" t="s">
        <v>83</v>
      </c>
      <c r="B146" s="51">
        <v>68</v>
      </c>
      <c r="C146" s="4" t="str">
        <f t="shared" ref="C146:C148" si="102">TEXT(DEC2BIN(B146), "00000000")</f>
        <v>01000100</v>
      </c>
      <c r="D146" s="2" t="str">
        <f>DEC2HEX(B146)</f>
        <v>44</v>
      </c>
      <c r="E146" s="54"/>
      <c r="F146" s="55"/>
      <c r="G146" s="55"/>
      <c r="H146" s="11">
        <v>0</v>
      </c>
      <c r="I146" s="4" t="str">
        <f>TEXT(DEC2BIN(H146), "00000")</f>
        <v>00000</v>
      </c>
      <c r="J146" s="1" t="s">
        <v>14</v>
      </c>
      <c r="K146" s="54"/>
    </row>
    <row r="147" spans="1:11" s="50" customFormat="1" ht="15" customHeight="1" x14ac:dyDescent="0.25">
      <c r="A147" s="44"/>
      <c r="B147" s="3">
        <f t="shared" ref="B147:B148" si="103">(B146)</f>
        <v>68</v>
      </c>
      <c r="C147" s="4" t="str">
        <f t="shared" si="102"/>
        <v>01000100</v>
      </c>
      <c r="D147" s="2" t="str">
        <f t="shared" ref="D147:D148" si="104">DEC2HEX(B147)</f>
        <v>44</v>
      </c>
      <c r="E147" s="54"/>
      <c r="F147" s="55"/>
      <c r="G147" s="55"/>
      <c r="H147" s="11">
        <f t="shared" ref="H147:H148" si="105">H146+1</f>
        <v>1</v>
      </c>
      <c r="I147" s="4" t="str">
        <f>TEXT(DEC2BIN(H147), "00000")</f>
        <v>00001</v>
      </c>
      <c r="J147" s="1" t="s">
        <v>13</v>
      </c>
      <c r="K147" s="54"/>
    </row>
    <row r="148" spans="1:11" x14ac:dyDescent="0.25">
      <c r="B148" s="3">
        <f t="shared" si="103"/>
        <v>68</v>
      </c>
      <c r="C148" s="4" t="str">
        <f t="shared" si="102"/>
        <v>01000100</v>
      </c>
      <c r="D148" s="2" t="str">
        <f t="shared" si="104"/>
        <v>44</v>
      </c>
      <c r="H148" s="11">
        <f t="shared" si="105"/>
        <v>2</v>
      </c>
      <c r="I148" s="4" t="str">
        <f>TEXT(DEC2BIN(H148), "00000")</f>
        <v>00010</v>
      </c>
      <c r="J148" s="1" t="s">
        <v>20</v>
      </c>
      <c r="K148" s="1" t="s">
        <v>28</v>
      </c>
    </row>
    <row r="149" spans="1:11" s="50" customFormat="1" ht="15" customHeight="1" x14ac:dyDescent="0.25">
      <c r="A149" s="44"/>
      <c r="B149" s="51"/>
      <c r="C149" s="52"/>
      <c r="D149" s="53"/>
      <c r="E149" s="54"/>
      <c r="F149" s="55"/>
      <c r="G149" s="55"/>
      <c r="H149" s="11"/>
      <c r="I149" s="4"/>
      <c r="J149" s="1"/>
      <c r="K149" s="54"/>
    </row>
    <row r="150" spans="1:11" s="50" customFormat="1" ht="15" customHeight="1" x14ac:dyDescent="0.25">
      <c r="A150" s="44" t="s">
        <v>84</v>
      </c>
      <c r="B150" s="45">
        <v>69</v>
      </c>
      <c r="C150" s="4" t="str">
        <f t="shared" ref="C150:C152" si="106">TEXT(DEC2BIN(B150), "00000000")</f>
        <v>01000101</v>
      </c>
      <c r="D150" s="2" t="str">
        <f>DEC2HEX(B150)</f>
        <v>45</v>
      </c>
      <c r="E150" s="48"/>
      <c r="F150" s="49"/>
      <c r="G150" s="49"/>
      <c r="H150" s="11">
        <v>0</v>
      </c>
      <c r="I150" s="4" t="str">
        <f>TEXT(DEC2BIN(H150), "00000")</f>
        <v>00000</v>
      </c>
      <c r="J150" s="1" t="s">
        <v>14</v>
      </c>
      <c r="K150" s="48"/>
    </row>
    <row r="151" spans="1:11" s="50" customFormat="1" ht="15" customHeight="1" x14ac:dyDescent="0.25">
      <c r="A151" s="44"/>
      <c r="B151" s="3">
        <f t="shared" ref="B151:B152" si="107">(B150)</f>
        <v>69</v>
      </c>
      <c r="C151" s="4" t="str">
        <f t="shared" si="106"/>
        <v>01000101</v>
      </c>
      <c r="D151" s="2" t="str">
        <f t="shared" ref="D151:D152" si="108">DEC2HEX(B151)</f>
        <v>45</v>
      </c>
      <c r="E151" s="48"/>
      <c r="F151" s="49"/>
      <c r="G151" s="49"/>
      <c r="H151" s="11">
        <f t="shared" ref="H151:H152" si="109">H150+1</f>
        <v>1</v>
      </c>
      <c r="I151" s="4" t="str">
        <f>TEXT(DEC2BIN(H151), "00000")</f>
        <v>00001</v>
      </c>
      <c r="J151" s="1" t="s">
        <v>13</v>
      </c>
      <c r="K151" s="48"/>
    </row>
    <row r="152" spans="1:11" x14ac:dyDescent="0.25">
      <c r="B152" s="3">
        <f t="shared" si="107"/>
        <v>69</v>
      </c>
      <c r="C152" s="4" t="str">
        <f t="shared" si="106"/>
        <v>01000101</v>
      </c>
      <c r="D152" s="2" t="str">
        <f t="shared" si="108"/>
        <v>45</v>
      </c>
      <c r="H152" s="11">
        <f t="shared" si="109"/>
        <v>2</v>
      </c>
      <c r="I152" s="4" t="str">
        <f>TEXT(DEC2BIN(H152), "00000")</f>
        <v>00010</v>
      </c>
      <c r="J152" s="1" t="s">
        <v>20</v>
      </c>
      <c r="K152" s="1" t="s">
        <v>28</v>
      </c>
    </row>
    <row r="153" spans="1:11" s="50" customFormat="1" ht="15" customHeight="1" x14ac:dyDescent="0.25">
      <c r="A153" s="44"/>
      <c r="B153" s="45"/>
      <c r="C153" s="46"/>
      <c r="D153" s="47"/>
      <c r="E153" s="48"/>
      <c r="F153" s="49"/>
      <c r="G153" s="49"/>
      <c r="H153" s="11"/>
      <c r="I153" s="4"/>
      <c r="J153" s="1"/>
      <c r="K153" s="48"/>
    </row>
    <row r="154" spans="1:11" s="50" customFormat="1" ht="15" customHeight="1" x14ac:dyDescent="0.25">
      <c r="A154" s="44" t="s">
        <v>85</v>
      </c>
      <c r="B154" s="56">
        <v>70</v>
      </c>
      <c r="C154" s="4" t="str">
        <f t="shared" ref="C154:C156" si="110">TEXT(DEC2BIN(B154), "00000000")</f>
        <v>01000110</v>
      </c>
      <c r="D154" s="2" t="str">
        <f>DEC2HEX(B154)</f>
        <v>46</v>
      </c>
      <c r="E154" s="57"/>
      <c r="F154" s="59"/>
      <c r="G154" s="59"/>
      <c r="H154" s="11">
        <v>0</v>
      </c>
      <c r="I154" s="4" t="str">
        <f>TEXT(DEC2BIN(H154), "00000")</f>
        <v>00000</v>
      </c>
      <c r="J154" s="1" t="s">
        <v>14</v>
      </c>
      <c r="K154" s="57"/>
    </row>
    <row r="155" spans="1:11" s="50" customFormat="1" ht="15" customHeight="1" x14ac:dyDescent="0.25">
      <c r="A155" s="44"/>
      <c r="B155" s="3">
        <f>(B154)</f>
        <v>70</v>
      </c>
      <c r="C155" s="4" t="str">
        <f t="shared" si="110"/>
        <v>01000110</v>
      </c>
      <c r="D155" s="2" t="str">
        <f t="shared" ref="D155:D156" si="111">DEC2HEX(B155)</f>
        <v>46</v>
      </c>
      <c r="E155" s="57"/>
      <c r="F155" s="59"/>
      <c r="G155" s="59"/>
      <c r="H155" s="11">
        <f>H154+1</f>
        <v>1</v>
      </c>
      <c r="I155" s="4" t="str">
        <f>TEXT(DEC2BIN(H155), "00000")</f>
        <v>00001</v>
      </c>
      <c r="J155" s="1" t="s">
        <v>13</v>
      </c>
      <c r="K155" s="57"/>
    </row>
    <row r="156" spans="1:11" x14ac:dyDescent="0.25">
      <c r="B156" s="3">
        <f t="shared" ref="B156" si="112">(B155)</f>
        <v>70</v>
      </c>
      <c r="C156" s="4" t="str">
        <f t="shared" si="110"/>
        <v>01000110</v>
      </c>
      <c r="D156" s="2" t="str">
        <f t="shared" si="111"/>
        <v>46</v>
      </c>
      <c r="H156" s="11">
        <f t="shared" ref="H156" si="113">H155+1</f>
        <v>2</v>
      </c>
      <c r="I156" s="4" t="str">
        <f>TEXT(DEC2BIN(H156), "00000")</f>
        <v>00010</v>
      </c>
      <c r="J156" s="1" t="s">
        <v>20</v>
      </c>
      <c r="K156" s="1" t="s">
        <v>28</v>
      </c>
    </row>
    <row r="157" spans="1:11" s="50" customFormat="1" ht="15" customHeight="1" x14ac:dyDescent="0.25">
      <c r="A157" s="44"/>
      <c r="B157" s="56"/>
      <c r="C157" s="57"/>
      <c r="D157" s="58"/>
      <c r="E157" s="57"/>
      <c r="F157" s="59"/>
      <c r="G157" s="59"/>
      <c r="H157" s="11"/>
      <c r="I157" s="4"/>
      <c r="J157" s="1"/>
      <c r="K157" s="57"/>
    </row>
    <row r="158" spans="1:11" s="64" customFormat="1" ht="15" customHeight="1" x14ac:dyDescent="0.25">
      <c r="A158" s="60" t="s">
        <v>86</v>
      </c>
      <c r="B158" s="56">
        <v>71</v>
      </c>
      <c r="C158" s="4" t="str">
        <f t="shared" ref="C158:C160" si="114">TEXT(DEC2BIN(B158), "00000000")</f>
        <v>01000111</v>
      </c>
      <c r="D158" s="2" t="str">
        <f>DEC2HEX(B158)</f>
        <v>47</v>
      </c>
      <c r="E158" s="62"/>
      <c r="F158" s="63"/>
      <c r="G158" s="63"/>
      <c r="H158" s="11">
        <v>0</v>
      </c>
      <c r="I158" s="4" t="str">
        <f>TEXT(DEC2BIN(H158), "00000")</f>
        <v>00000</v>
      </c>
      <c r="J158" s="1" t="s">
        <v>14</v>
      </c>
      <c r="K158" s="62"/>
    </row>
    <row r="159" spans="1:11" s="64" customFormat="1" ht="15" customHeight="1" x14ac:dyDescent="0.25">
      <c r="A159" s="60"/>
      <c r="B159" s="3">
        <f t="shared" ref="B159:B160" si="115">(B158)</f>
        <v>71</v>
      </c>
      <c r="C159" s="4" t="str">
        <f t="shared" si="114"/>
        <v>01000111</v>
      </c>
      <c r="D159" s="2" t="str">
        <f t="shared" ref="D159:D160" si="116">DEC2HEX(B159)</f>
        <v>47</v>
      </c>
      <c r="E159" s="62"/>
      <c r="F159" s="63"/>
      <c r="G159" s="63"/>
      <c r="H159" s="11">
        <f t="shared" ref="H159:H160" si="117">H158+1</f>
        <v>1</v>
      </c>
      <c r="I159" s="4" t="str">
        <f>TEXT(DEC2BIN(H159), "00000")</f>
        <v>00001</v>
      </c>
      <c r="J159" s="1" t="s">
        <v>13</v>
      </c>
      <c r="K159" s="62"/>
    </row>
    <row r="160" spans="1:11" x14ac:dyDescent="0.25">
      <c r="B160" s="3">
        <f t="shared" si="115"/>
        <v>71</v>
      </c>
      <c r="C160" s="4" t="str">
        <f t="shared" si="114"/>
        <v>01000111</v>
      </c>
      <c r="D160" s="2" t="str">
        <f t="shared" si="116"/>
        <v>47</v>
      </c>
      <c r="H160" s="11">
        <f t="shared" si="117"/>
        <v>2</v>
      </c>
      <c r="I160" s="4" t="str">
        <f>TEXT(DEC2BIN(H160), "00000")</f>
        <v>00010</v>
      </c>
      <c r="J160" s="1" t="s">
        <v>20</v>
      </c>
      <c r="K160" s="1" t="s">
        <v>28</v>
      </c>
    </row>
    <row r="161" spans="1:11" s="64" customFormat="1" ht="15" customHeight="1" x14ac:dyDescent="0.25">
      <c r="A161" s="60"/>
      <c r="B161" s="56"/>
      <c r="C161" s="60"/>
      <c r="D161" s="61"/>
      <c r="E161" s="62"/>
      <c r="F161" s="63"/>
      <c r="G161" s="63"/>
      <c r="H161" s="11"/>
      <c r="I161" s="4"/>
      <c r="J161" s="1"/>
      <c r="K161" s="62"/>
    </row>
    <row r="162" spans="1:11" s="77" customFormat="1" x14ac:dyDescent="0.25">
      <c r="A162" s="77" t="s">
        <v>60</v>
      </c>
      <c r="B162" s="78">
        <v>80</v>
      </c>
      <c r="C162" s="79" t="str">
        <f t="shared" ref="C162:C167" si="118">TEXT(DEC2BIN(B162), "00000000")</f>
        <v>01010000</v>
      </c>
      <c r="D162" s="80" t="str">
        <f t="shared" ref="D162:D167" si="119">DEC2HEX(B162)</f>
        <v>50</v>
      </c>
      <c r="E162" s="81" t="s">
        <v>114</v>
      </c>
      <c r="F162" s="82"/>
      <c r="G162" s="82"/>
      <c r="H162" s="81">
        <v>0</v>
      </c>
      <c r="I162" s="79" t="str">
        <f t="shared" ref="I162:I167" si="120">TEXT(DEC2BIN(H162), "00000")</f>
        <v>00000</v>
      </c>
      <c r="J162" s="81" t="s">
        <v>14</v>
      </c>
      <c r="K162" s="81" t="s">
        <v>18</v>
      </c>
    </row>
    <row r="163" spans="1:11" x14ac:dyDescent="0.25">
      <c r="B163" s="3">
        <f t="shared" ref="B163:B167" si="121">(B162)</f>
        <v>80</v>
      </c>
      <c r="C163" s="4" t="str">
        <f t="shared" si="118"/>
        <v>01010000</v>
      </c>
      <c r="D163" s="2" t="str">
        <f t="shared" si="119"/>
        <v>50</v>
      </c>
      <c r="E163" s="1"/>
      <c r="F163" s="12"/>
      <c r="G163" s="12"/>
      <c r="H163" s="1">
        <f>H162+1</f>
        <v>1</v>
      </c>
      <c r="I163" s="4" t="str">
        <f t="shared" si="120"/>
        <v>00001</v>
      </c>
      <c r="J163" s="1" t="s">
        <v>13</v>
      </c>
      <c r="K163" s="1"/>
    </row>
    <row r="164" spans="1:11" x14ac:dyDescent="0.25">
      <c r="B164" s="3">
        <f t="shared" si="121"/>
        <v>80</v>
      </c>
      <c r="C164" s="4" t="str">
        <f t="shared" si="118"/>
        <v>01010000</v>
      </c>
      <c r="D164" s="2" t="str">
        <f t="shared" si="119"/>
        <v>50</v>
      </c>
      <c r="E164" s="1"/>
      <c r="F164" s="12"/>
      <c r="G164" s="12"/>
      <c r="H164" s="11">
        <f>H163+1</f>
        <v>2</v>
      </c>
      <c r="I164" s="4" t="str">
        <f t="shared" si="120"/>
        <v>00010</v>
      </c>
      <c r="J164" s="11" t="s">
        <v>15</v>
      </c>
      <c r="K164" s="1"/>
    </row>
    <row r="165" spans="1:11" x14ac:dyDescent="0.25">
      <c r="B165" s="3">
        <f t="shared" si="121"/>
        <v>80</v>
      </c>
      <c r="C165" s="4" t="str">
        <f t="shared" si="118"/>
        <v>01010000</v>
      </c>
      <c r="D165" s="2" t="str">
        <f t="shared" si="119"/>
        <v>50</v>
      </c>
      <c r="E165" s="1"/>
      <c r="F165" s="12"/>
      <c r="G165" s="12"/>
      <c r="H165" s="11">
        <f>H164+1</f>
        <v>3</v>
      </c>
      <c r="I165" s="4" t="str">
        <f t="shared" si="120"/>
        <v>00011</v>
      </c>
      <c r="J165" s="1" t="s">
        <v>115</v>
      </c>
      <c r="K165" s="1"/>
    </row>
    <row r="166" spans="1:11" x14ac:dyDescent="0.25">
      <c r="B166" s="3">
        <f t="shared" si="121"/>
        <v>80</v>
      </c>
      <c r="C166" s="4" t="str">
        <f t="shared" si="118"/>
        <v>01010000</v>
      </c>
      <c r="D166" s="2" t="str">
        <f t="shared" si="119"/>
        <v>50</v>
      </c>
      <c r="E166" s="1"/>
      <c r="F166" s="12"/>
      <c r="G166" s="12"/>
      <c r="H166" s="11">
        <f>H165+1</f>
        <v>4</v>
      </c>
      <c r="I166" s="4" t="str">
        <f t="shared" si="120"/>
        <v>00100</v>
      </c>
      <c r="J166" s="1" t="s">
        <v>134</v>
      </c>
      <c r="K166" s="1"/>
    </row>
    <row r="167" spans="1:11" x14ac:dyDescent="0.25">
      <c r="B167" s="3">
        <f t="shared" si="121"/>
        <v>80</v>
      </c>
      <c r="C167" s="4" t="str">
        <f t="shared" si="118"/>
        <v>01010000</v>
      </c>
      <c r="D167" s="2" t="str">
        <f t="shared" si="119"/>
        <v>50</v>
      </c>
      <c r="E167" s="1"/>
      <c r="F167" s="12"/>
      <c r="G167" s="12"/>
      <c r="H167" s="11">
        <f>H166+1</f>
        <v>5</v>
      </c>
      <c r="I167" s="4" t="str">
        <f t="shared" si="120"/>
        <v>00101</v>
      </c>
      <c r="J167" s="1" t="s">
        <v>20</v>
      </c>
      <c r="K167" s="1" t="s">
        <v>28</v>
      </c>
    </row>
    <row r="168" spans="1:11" x14ac:dyDescent="0.25">
      <c r="B168" s="3"/>
      <c r="C168" s="4"/>
      <c r="E168" s="1"/>
      <c r="F168" s="12"/>
      <c r="G168" s="12"/>
      <c r="H168" s="1"/>
      <c r="I168" s="4"/>
      <c r="J168" s="1"/>
      <c r="K168" s="1"/>
    </row>
    <row r="169" spans="1:11" x14ac:dyDescent="0.25">
      <c r="A169" t="s">
        <v>61</v>
      </c>
      <c r="B169" s="3">
        <v>81</v>
      </c>
      <c r="C169" s="4" t="str">
        <f t="shared" ref="C169:C170" si="122">TEXT(DEC2BIN(B169), "00000000")</f>
        <v>01010001</v>
      </c>
      <c r="D169" s="2" t="str">
        <f>DEC2HEX(B169)</f>
        <v>51</v>
      </c>
      <c r="E169" s="1" t="s">
        <v>133</v>
      </c>
      <c r="F169" s="12"/>
      <c r="G169" s="12"/>
      <c r="H169" s="11">
        <v>0</v>
      </c>
      <c r="I169" s="4" t="str">
        <f t="shared" ref="I169:I190" si="123">TEXT(DEC2BIN(H169), "00000")</f>
        <v>00000</v>
      </c>
      <c r="J169" s="1" t="s">
        <v>14</v>
      </c>
      <c r="K169" s="1" t="s">
        <v>18</v>
      </c>
    </row>
    <row r="170" spans="1:11" x14ac:dyDescent="0.25">
      <c r="B170" s="3">
        <f>B169</f>
        <v>81</v>
      </c>
      <c r="C170" s="4" t="str">
        <f t="shared" si="122"/>
        <v>01010001</v>
      </c>
      <c r="D170" s="2" t="str">
        <f t="shared" ref="D170" si="124">DEC2HEX(B170)</f>
        <v>51</v>
      </c>
      <c r="E170" s="1"/>
      <c r="F170" s="12"/>
      <c r="G170" s="12"/>
      <c r="H170" s="11">
        <f t="shared" ref="H170:H179" si="125">H169+1</f>
        <v>1</v>
      </c>
      <c r="I170" s="4" t="str">
        <f t="shared" si="123"/>
        <v>00001</v>
      </c>
      <c r="J170" s="1" t="s">
        <v>13</v>
      </c>
      <c r="K170" s="1"/>
    </row>
    <row r="171" spans="1:11" x14ac:dyDescent="0.25">
      <c r="B171" s="3">
        <f t="shared" ref="B171:B179" si="126">B170</f>
        <v>81</v>
      </c>
      <c r="C171" s="4" t="str">
        <f t="shared" ref="C171:C190" si="127">TEXT(DEC2BIN(B171), "00000000")</f>
        <v>01010001</v>
      </c>
      <c r="D171" s="2" t="str">
        <f t="shared" ref="D171:D190" si="128">DEC2HEX(B171)</f>
        <v>51</v>
      </c>
      <c r="E171" s="1"/>
      <c r="F171" s="12"/>
      <c r="G171" s="12"/>
      <c r="H171" s="11">
        <f t="shared" si="125"/>
        <v>2</v>
      </c>
      <c r="I171" s="4" t="str">
        <f t="shared" si="123"/>
        <v>00010</v>
      </c>
      <c r="J171" s="11" t="s">
        <v>15</v>
      </c>
      <c r="K171" s="1"/>
    </row>
    <row r="172" spans="1:11" x14ac:dyDescent="0.25">
      <c r="B172" s="3">
        <f t="shared" si="126"/>
        <v>81</v>
      </c>
      <c r="C172" s="4" t="str">
        <f t="shared" si="127"/>
        <v>01010001</v>
      </c>
      <c r="D172" s="2" t="str">
        <f t="shared" si="128"/>
        <v>51</v>
      </c>
      <c r="E172" s="1"/>
      <c r="F172" s="12"/>
      <c r="G172" s="12"/>
      <c r="H172" s="11">
        <f t="shared" si="125"/>
        <v>3</v>
      </c>
      <c r="I172" s="4" t="str">
        <f t="shared" si="123"/>
        <v>00011</v>
      </c>
      <c r="J172" s="1" t="s">
        <v>47</v>
      </c>
      <c r="K172" s="1"/>
    </row>
    <row r="173" spans="1:11" x14ac:dyDescent="0.25">
      <c r="B173" s="3">
        <f t="shared" si="126"/>
        <v>81</v>
      </c>
      <c r="C173" s="4" t="str">
        <f t="shared" si="127"/>
        <v>01010001</v>
      </c>
      <c r="D173" s="2" t="str">
        <f t="shared" si="128"/>
        <v>51</v>
      </c>
      <c r="E173" s="1"/>
      <c r="F173" s="12"/>
      <c r="G173" s="12"/>
      <c r="H173" s="11">
        <f t="shared" si="125"/>
        <v>4</v>
      </c>
      <c r="I173" s="4" t="str">
        <f t="shared" si="123"/>
        <v>00100</v>
      </c>
      <c r="J173" s="1" t="s">
        <v>48</v>
      </c>
      <c r="K173" s="1"/>
    </row>
    <row r="174" spans="1:11" x14ac:dyDescent="0.25">
      <c r="B174" s="3">
        <f t="shared" si="126"/>
        <v>81</v>
      </c>
      <c r="C174" s="4" t="str">
        <f t="shared" si="127"/>
        <v>01010001</v>
      </c>
      <c r="D174" s="2" t="str">
        <f t="shared" si="128"/>
        <v>51</v>
      </c>
      <c r="E174" s="1"/>
      <c r="F174" s="12"/>
      <c r="G174" s="12"/>
      <c r="H174" s="11">
        <f t="shared" si="125"/>
        <v>5</v>
      </c>
      <c r="I174" s="4" t="str">
        <f t="shared" si="123"/>
        <v>00101</v>
      </c>
      <c r="J174" s="11" t="s">
        <v>15</v>
      </c>
      <c r="K174" s="1"/>
    </row>
    <row r="175" spans="1:11" x14ac:dyDescent="0.25">
      <c r="B175" s="3">
        <f t="shared" si="126"/>
        <v>81</v>
      </c>
      <c r="C175" s="4" t="str">
        <f t="shared" si="127"/>
        <v>01010001</v>
      </c>
      <c r="D175" s="2" t="str">
        <f t="shared" si="128"/>
        <v>51</v>
      </c>
      <c r="E175" s="1"/>
      <c r="F175" s="12"/>
      <c r="G175" s="12"/>
      <c r="H175" s="11">
        <f t="shared" si="125"/>
        <v>6</v>
      </c>
      <c r="I175" s="4" t="str">
        <f t="shared" si="123"/>
        <v>00110</v>
      </c>
      <c r="J175" s="1" t="s">
        <v>49</v>
      </c>
      <c r="K175" s="1"/>
    </row>
    <row r="176" spans="1:11" x14ac:dyDescent="0.25">
      <c r="B176" s="3">
        <f t="shared" si="126"/>
        <v>81</v>
      </c>
      <c r="C176" s="4" t="str">
        <f t="shared" si="127"/>
        <v>01010001</v>
      </c>
      <c r="D176" s="2" t="str">
        <f t="shared" si="128"/>
        <v>51</v>
      </c>
      <c r="E176" s="1"/>
      <c r="F176" s="12"/>
      <c r="G176" s="12"/>
      <c r="H176" s="11">
        <f t="shared" si="125"/>
        <v>7</v>
      </c>
      <c r="I176" s="4" t="str">
        <f t="shared" si="123"/>
        <v>00111</v>
      </c>
      <c r="J176" s="1" t="s">
        <v>59</v>
      </c>
      <c r="K176" s="1"/>
    </row>
    <row r="177" spans="1:11" x14ac:dyDescent="0.25">
      <c r="B177" s="3">
        <f t="shared" si="126"/>
        <v>81</v>
      </c>
      <c r="C177" s="4" t="str">
        <f t="shared" si="127"/>
        <v>01010001</v>
      </c>
      <c r="D177" s="2" t="str">
        <f t="shared" si="128"/>
        <v>51</v>
      </c>
      <c r="E177" s="1"/>
      <c r="F177" s="12"/>
      <c r="G177" s="12"/>
      <c r="H177" s="11">
        <f t="shared" si="125"/>
        <v>8</v>
      </c>
      <c r="I177" s="4" t="str">
        <f t="shared" si="123"/>
        <v>01000</v>
      </c>
      <c r="J177" s="11" t="s">
        <v>106</v>
      </c>
      <c r="K177" s="1"/>
    </row>
    <row r="178" spans="1:11" x14ac:dyDescent="0.25">
      <c r="B178" s="3">
        <f t="shared" si="126"/>
        <v>81</v>
      </c>
      <c r="C178" s="4" t="str">
        <f t="shared" si="127"/>
        <v>01010001</v>
      </c>
      <c r="D178" s="2" t="str">
        <f t="shared" si="128"/>
        <v>51</v>
      </c>
      <c r="E178" s="1"/>
      <c r="F178" s="12"/>
      <c r="G178" s="12"/>
      <c r="H178" s="11">
        <f t="shared" si="125"/>
        <v>9</v>
      </c>
      <c r="I178" s="4" t="str">
        <f t="shared" si="123"/>
        <v>01001</v>
      </c>
      <c r="J178" s="11" t="s">
        <v>116</v>
      </c>
      <c r="K178" s="1"/>
    </row>
    <row r="179" spans="1:11" x14ac:dyDescent="0.25">
      <c r="B179" s="3">
        <f t="shared" si="126"/>
        <v>81</v>
      </c>
      <c r="C179" s="4" t="str">
        <f t="shared" si="127"/>
        <v>01010001</v>
      </c>
      <c r="D179" s="2" t="str">
        <f t="shared" si="128"/>
        <v>51</v>
      </c>
      <c r="E179" s="1"/>
      <c r="F179" s="12"/>
      <c r="G179" s="12"/>
      <c r="H179" s="11">
        <f t="shared" si="125"/>
        <v>10</v>
      </c>
      <c r="I179" s="4" t="str">
        <f t="shared" si="123"/>
        <v>01010</v>
      </c>
      <c r="J179" s="1" t="s">
        <v>20</v>
      </c>
      <c r="K179" s="1" t="s">
        <v>28</v>
      </c>
    </row>
    <row r="180" spans="1:11" x14ac:dyDescent="0.25">
      <c r="B180" s="3"/>
      <c r="C180" s="4"/>
      <c r="E180" s="1"/>
      <c r="F180" s="12"/>
      <c r="G180" s="12"/>
      <c r="H180" s="11"/>
      <c r="I180" s="4"/>
      <c r="J180" s="1"/>
      <c r="K180" s="1"/>
    </row>
    <row r="181" spans="1:11" x14ac:dyDescent="0.25">
      <c r="A181" t="s">
        <v>62</v>
      </c>
      <c r="B181" s="3">
        <v>82</v>
      </c>
      <c r="C181" s="4" t="str">
        <f t="shared" si="127"/>
        <v>01010010</v>
      </c>
      <c r="D181" s="2" t="str">
        <f t="shared" si="128"/>
        <v>52</v>
      </c>
      <c r="E181" s="1" t="s">
        <v>132</v>
      </c>
      <c r="F181" s="12"/>
      <c r="G181" s="12"/>
      <c r="H181" s="11">
        <v>0</v>
      </c>
      <c r="I181" s="4" t="str">
        <f t="shared" si="123"/>
        <v>00000</v>
      </c>
      <c r="J181" s="1" t="s">
        <v>14</v>
      </c>
      <c r="K181" s="1" t="s">
        <v>18</v>
      </c>
    </row>
    <row r="182" spans="1:11" x14ac:dyDescent="0.25">
      <c r="B182" s="3">
        <f t="shared" ref="B182:B190" si="129">(B181)</f>
        <v>82</v>
      </c>
      <c r="C182" s="4" t="str">
        <f t="shared" si="127"/>
        <v>01010010</v>
      </c>
      <c r="D182" s="2" t="str">
        <f t="shared" si="128"/>
        <v>52</v>
      </c>
      <c r="E182" s="1"/>
      <c r="F182" s="12"/>
      <c r="G182" s="12"/>
      <c r="H182" s="11">
        <f t="shared" ref="H182:H190" si="130">H181+1</f>
        <v>1</v>
      </c>
      <c r="I182" s="4" t="str">
        <f t="shared" si="123"/>
        <v>00001</v>
      </c>
      <c r="J182" s="1" t="s">
        <v>13</v>
      </c>
      <c r="K182" s="1"/>
    </row>
    <row r="183" spans="1:11" x14ac:dyDescent="0.25">
      <c r="B183" s="3">
        <f t="shared" si="129"/>
        <v>82</v>
      </c>
      <c r="C183" s="4" t="str">
        <f t="shared" si="127"/>
        <v>01010010</v>
      </c>
      <c r="D183" s="2" t="str">
        <f t="shared" si="128"/>
        <v>52</v>
      </c>
      <c r="E183" s="1"/>
      <c r="F183" s="12"/>
      <c r="G183" s="12"/>
      <c r="H183" s="11">
        <f t="shared" si="130"/>
        <v>2</v>
      </c>
      <c r="I183" s="4" t="str">
        <f t="shared" si="123"/>
        <v>00010</v>
      </c>
      <c r="J183" s="11" t="s">
        <v>15</v>
      </c>
      <c r="K183" s="11" t="s">
        <v>25</v>
      </c>
    </row>
    <row r="184" spans="1:11" x14ac:dyDescent="0.25">
      <c r="B184" s="3">
        <f t="shared" si="129"/>
        <v>82</v>
      </c>
      <c r="C184" s="4" t="str">
        <f t="shared" si="127"/>
        <v>01010010</v>
      </c>
      <c r="D184" s="2" t="str">
        <f t="shared" si="128"/>
        <v>52</v>
      </c>
      <c r="E184" s="1"/>
      <c r="F184" s="12"/>
      <c r="G184" s="12"/>
      <c r="H184" s="11">
        <f t="shared" si="130"/>
        <v>3</v>
      </c>
      <c r="I184" s="4" t="str">
        <f t="shared" si="123"/>
        <v>00011</v>
      </c>
      <c r="J184" s="1" t="s">
        <v>49</v>
      </c>
      <c r="K184" s="11" t="s">
        <v>19</v>
      </c>
    </row>
    <row r="185" spans="1:11" x14ac:dyDescent="0.25">
      <c r="B185" s="3">
        <f t="shared" si="129"/>
        <v>82</v>
      </c>
      <c r="C185" s="4" t="str">
        <f t="shared" si="127"/>
        <v>01010010</v>
      </c>
      <c r="D185" s="2" t="str">
        <f t="shared" si="128"/>
        <v>52</v>
      </c>
      <c r="E185" s="1"/>
      <c r="F185" s="12"/>
      <c r="G185" s="12"/>
      <c r="H185" s="11">
        <f t="shared" si="130"/>
        <v>4</v>
      </c>
      <c r="I185" s="4" t="str">
        <f t="shared" si="123"/>
        <v>00100</v>
      </c>
      <c r="J185" s="1" t="s">
        <v>50</v>
      </c>
      <c r="K185" s="1"/>
    </row>
    <row r="186" spans="1:11" x14ac:dyDescent="0.25">
      <c r="B186" s="3">
        <f t="shared" si="129"/>
        <v>82</v>
      </c>
      <c r="C186" s="4" t="str">
        <f t="shared" si="127"/>
        <v>01010010</v>
      </c>
      <c r="D186" s="2" t="str">
        <f t="shared" si="128"/>
        <v>52</v>
      </c>
      <c r="E186" s="1"/>
      <c r="F186" s="12"/>
      <c r="G186" s="12"/>
      <c r="H186" s="11">
        <f t="shared" si="130"/>
        <v>5</v>
      </c>
      <c r="I186" s="4" t="str">
        <f t="shared" si="123"/>
        <v>00101</v>
      </c>
      <c r="J186" s="11" t="s">
        <v>15</v>
      </c>
      <c r="K186" s="11" t="s">
        <v>25</v>
      </c>
    </row>
    <row r="187" spans="1:11" x14ac:dyDescent="0.25">
      <c r="B187" s="3">
        <f t="shared" si="129"/>
        <v>82</v>
      </c>
      <c r="C187" s="4" t="str">
        <f t="shared" si="127"/>
        <v>01010010</v>
      </c>
      <c r="D187" s="2" t="str">
        <f t="shared" si="128"/>
        <v>52</v>
      </c>
      <c r="E187" s="1"/>
      <c r="F187" s="12"/>
      <c r="G187" s="12"/>
      <c r="H187" s="11">
        <f t="shared" si="130"/>
        <v>6</v>
      </c>
      <c r="I187" s="4" t="str">
        <f t="shared" si="123"/>
        <v>00110</v>
      </c>
      <c r="J187" s="1" t="s">
        <v>47</v>
      </c>
      <c r="K187" s="11" t="s">
        <v>21</v>
      </c>
    </row>
    <row r="188" spans="1:11" x14ac:dyDescent="0.25">
      <c r="B188" s="3">
        <f t="shared" si="129"/>
        <v>82</v>
      </c>
      <c r="C188" s="4" t="str">
        <f t="shared" si="127"/>
        <v>01010010</v>
      </c>
      <c r="D188" s="2" t="str">
        <f t="shared" si="128"/>
        <v>52</v>
      </c>
      <c r="E188" s="1"/>
      <c r="F188" s="12"/>
      <c r="G188" s="12"/>
      <c r="H188" s="11">
        <f t="shared" si="130"/>
        <v>7</v>
      </c>
      <c r="I188" s="4" t="str">
        <f t="shared" si="123"/>
        <v>00111</v>
      </c>
      <c r="J188" s="1" t="s">
        <v>48</v>
      </c>
      <c r="K188" s="11"/>
    </row>
    <row r="189" spans="1:11" x14ac:dyDescent="0.25">
      <c r="B189" s="3">
        <f t="shared" si="129"/>
        <v>82</v>
      </c>
      <c r="C189" s="4" t="str">
        <f t="shared" si="127"/>
        <v>01010010</v>
      </c>
      <c r="D189" s="2" t="str">
        <f t="shared" si="128"/>
        <v>52</v>
      </c>
      <c r="H189" s="11">
        <f t="shared" si="130"/>
        <v>8</v>
      </c>
      <c r="I189" s="4" t="str">
        <f t="shared" si="123"/>
        <v>01000</v>
      </c>
      <c r="J189" s="11" t="s">
        <v>105</v>
      </c>
      <c r="K189" s="11" t="s">
        <v>55</v>
      </c>
    </row>
    <row r="190" spans="1:11" x14ac:dyDescent="0.25">
      <c r="B190" s="3">
        <f t="shared" si="129"/>
        <v>82</v>
      </c>
      <c r="C190" s="4" t="str">
        <f t="shared" si="127"/>
        <v>01010010</v>
      </c>
      <c r="D190" s="2" t="str">
        <f t="shared" si="128"/>
        <v>52</v>
      </c>
      <c r="H190" s="11">
        <f t="shared" si="130"/>
        <v>9</v>
      </c>
      <c r="I190" s="4" t="str">
        <f t="shared" si="123"/>
        <v>01001</v>
      </c>
      <c r="J190" s="1" t="s">
        <v>20</v>
      </c>
      <c r="K190" s="1" t="s">
        <v>28</v>
      </c>
    </row>
    <row r="191" spans="1:11" x14ac:dyDescent="0.25">
      <c r="B191" s="3"/>
      <c r="C191" s="4"/>
      <c r="H191" s="11"/>
      <c r="I191" s="4"/>
      <c r="J191" s="1"/>
      <c r="K191" s="1"/>
    </row>
    <row r="192" spans="1:11" s="64" customFormat="1" ht="15" customHeight="1" x14ac:dyDescent="0.25">
      <c r="A192" s="60" t="s">
        <v>87</v>
      </c>
      <c r="B192" s="56">
        <v>83</v>
      </c>
      <c r="C192" s="4" t="str">
        <f t="shared" ref="C192:C194" si="131">TEXT(DEC2BIN(B192), "00000000")</f>
        <v>01010011</v>
      </c>
      <c r="D192" s="2" t="str">
        <f>DEC2HEX(B192)</f>
        <v>53</v>
      </c>
      <c r="E192" s="65"/>
      <c r="F192" s="66"/>
      <c r="G192" s="66"/>
      <c r="H192" s="11">
        <v>0</v>
      </c>
      <c r="I192" s="4" t="str">
        <f>TEXT(DEC2BIN(H192), "00000")</f>
        <v>00000</v>
      </c>
      <c r="J192" s="1" t="s">
        <v>14</v>
      </c>
      <c r="K192" s="65"/>
    </row>
    <row r="193" spans="1:11" s="64" customFormat="1" ht="15" customHeight="1" x14ac:dyDescent="0.25">
      <c r="A193" s="60"/>
      <c r="B193" s="3">
        <f t="shared" ref="B193:B194" si="132">(B192)</f>
        <v>83</v>
      </c>
      <c r="C193" s="4" t="str">
        <f t="shared" si="131"/>
        <v>01010011</v>
      </c>
      <c r="D193" s="2" t="str">
        <f t="shared" ref="D193:D194" si="133">DEC2HEX(B193)</f>
        <v>53</v>
      </c>
      <c r="E193" s="65"/>
      <c r="F193" s="66"/>
      <c r="G193" s="66"/>
      <c r="H193" s="11">
        <f t="shared" ref="H193:H194" si="134">H192+1</f>
        <v>1</v>
      </c>
      <c r="I193" s="4" t="str">
        <f>TEXT(DEC2BIN(H193), "00000")</f>
        <v>00001</v>
      </c>
      <c r="J193" s="1" t="s">
        <v>13</v>
      </c>
      <c r="K193" s="65"/>
    </row>
    <row r="194" spans="1:11" x14ac:dyDescent="0.25">
      <c r="B194" s="3">
        <f t="shared" si="132"/>
        <v>83</v>
      </c>
      <c r="C194" s="4" t="str">
        <f t="shared" si="131"/>
        <v>01010011</v>
      </c>
      <c r="D194" s="2" t="str">
        <f t="shared" si="133"/>
        <v>53</v>
      </c>
      <c r="H194" s="11">
        <f t="shared" si="134"/>
        <v>2</v>
      </c>
      <c r="I194" s="4" t="str">
        <f>TEXT(DEC2BIN(H194), "00000")</f>
        <v>00010</v>
      </c>
      <c r="J194" s="1" t="s">
        <v>20</v>
      </c>
      <c r="K194" s="1" t="s">
        <v>28</v>
      </c>
    </row>
    <row r="195" spans="1:11" s="64" customFormat="1" ht="15" customHeight="1" x14ac:dyDescent="0.25">
      <c r="A195" s="60"/>
      <c r="B195" s="56"/>
      <c r="C195" s="60"/>
      <c r="D195" s="61"/>
      <c r="E195" s="65"/>
      <c r="F195" s="66"/>
      <c r="G195" s="66"/>
      <c r="H195" s="11"/>
      <c r="I195" s="4"/>
      <c r="J195" s="1"/>
      <c r="K195" s="65"/>
    </row>
    <row r="196" spans="1:11" s="64" customFormat="1" ht="15" customHeight="1" x14ac:dyDescent="0.25">
      <c r="A196" s="60" t="s">
        <v>88</v>
      </c>
      <c r="B196" s="56">
        <v>84</v>
      </c>
      <c r="C196" s="4" t="str">
        <f t="shared" ref="C196:C198" si="135">TEXT(DEC2BIN(B196), "00000000")</f>
        <v>01010100</v>
      </c>
      <c r="D196" s="2" t="str">
        <f>DEC2HEX(B196)</f>
        <v>54</v>
      </c>
      <c r="E196" s="67"/>
      <c r="F196" s="68"/>
      <c r="G196" s="68"/>
      <c r="H196" s="11">
        <v>0</v>
      </c>
      <c r="I196" s="4" t="str">
        <f>TEXT(DEC2BIN(H196), "00000")</f>
        <v>00000</v>
      </c>
      <c r="J196" s="1" t="s">
        <v>14</v>
      </c>
      <c r="K196" s="67"/>
    </row>
    <row r="197" spans="1:11" s="64" customFormat="1" ht="15" customHeight="1" x14ac:dyDescent="0.25">
      <c r="A197" s="60"/>
      <c r="B197" s="3">
        <f t="shared" ref="B197:B198" si="136">(B196)</f>
        <v>84</v>
      </c>
      <c r="C197" s="4" t="str">
        <f t="shared" si="135"/>
        <v>01010100</v>
      </c>
      <c r="D197" s="2" t="str">
        <f t="shared" ref="D197:D198" si="137">DEC2HEX(B197)</f>
        <v>54</v>
      </c>
      <c r="E197" s="67"/>
      <c r="F197" s="68"/>
      <c r="G197" s="68"/>
      <c r="H197" s="11">
        <f t="shared" ref="H197:H198" si="138">H196+1</f>
        <v>1</v>
      </c>
      <c r="I197" s="4" t="str">
        <f>TEXT(DEC2BIN(H197), "00000")</f>
        <v>00001</v>
      </c>
      <c r="J197" s="1" t="s">
        <v>13</v>
      </c>
      <c r="K197" s="67"/>
    </row>
    <row r="198" spans="1:11" x14ac:dyDescent="0.25">
      <c r="B198" s="3">
        <f t="shared" si="136"/>
        <v>84</v>
      </c>
      <c r="C198" s="4" t="str">
        <f t="shared" si="135"/>
        <v>01010100</v>
      </c>
      <c r="D198" s="2" t="str">
        <f t="shared" si="137"/>
        <v>54</v>
      </c>
      <c r="H198" s="11">
        <f t="shared" si="138"/>
        <v>2</v>
      </c>
      <c r="I198" s="4" t="str">
        <f>TEXT(DEC2BIN(H198), "00000")</f>
        <v>00010</v>
      </c>
      <c r="J198" s="1" t="s">
        <v>20</v>
      </c>
      <c r="K198" s="1" t="s">
        <v>28</v>
      </c>
    </row>
    <row r="199" spans="1:11" s="64" customFormat="1" ht="15" customHeight="1" x14ac:dyDescent="0.25">
      <c r="A199" s="60"/>
      <c r="B199" s="56"/>
      <c r="C199" s="60"/>
      <c r="D199" s="61"/>
      <c r="E199" s="67"/>
      <c r="F199" s="68"/>
      <c r="G199" s="68"/>
      <c r="H199" s="11"/>
      <c r="I199" s="4"/>
      <c r="J199" s="1"/>
      <c r="K199" s="67"/>
    </row>
    <row r="200" spans="1:11" s="64" customFormat="1" ht="15" customHeight="1" x14ac:dyDescent="0.25">
      <c r="A200" s="64" t="s">
        <v>89</v>
      </c>
      <c r="B200" s="69">
        <v>85</v>
      </c>
      <c r="C200" s="4" t="str">
        <f t="shared" ref="C200:C202" si="139">TEXT(DEC2BIN(B200), "00000000")</f>
        <v>01010101</v>
      </c>
      <c r="D200" s="2" t="str">
        <f>DEC2HEX(B200)</f>
        <v>55</v>
      </c>
      <c r="E200" s="50"/>
      <c r="F200" s="71"/>
      <c r="G200" s="71"/>
      <c r="H200" s="11">
        <v>0</v>
      </c>
      <c r="I200" s="4" t="str">
        <f>TEXT(DEC2BIN(H200), "00000")</f>
        <v>00000</v>
      </c>
      <c r="J200" s="1" t="s">
        <v>14</v>
      </c>
      <c r="K200" s="50"/>
    </row>
    <row r="201" spans="1:11" s="64" customFormat="1" ht="15" customHeight="1" x14ac:dyDescent="0.25">
      <c r="B201" s="3">
        <f t="shared" ref="B201:B202" si="140">(B200)</f>
        <v>85</v>
      </c>
      <c r="C201" s="4" t="str">
        <f t="shared" si="139"/>
        <v>01010101</v>
      </c>
      <c r="D201" s="2" t="str">
        <f t="shared" ref="D201:D202" si="141">DEC2HEX(B201)</f>
        <v>55</v>
      </c>
      <c r="E201" s="50"/>
      <c r="F201" s="71"/>
      <c r="G201" s="71"/>
      <c r="H201" s="11">
        <f t="shared" ref="H201:H202" si="142">H200+1</f>
        <v>1</v>
      </c>
      <c r="I201" s="4" t="str">
        <f>TEXT(DEC2BIN(H201), "00000")</f>
        <v>00001</v>
      </c>
      <c r="J201" s="1" t="s">
        <v>13</v>
      </c>
      <c r="K201" s="50"/>
    </row>
    <row r="202" spans="1:11" x14ac:dyDescent="0.25">
      <c r="B202" s="3">
        <f t="shared" si="140"/>
        <v>85</v>
      </c>
      <c r="C202" s="4" t="str">
        <f t="shared" si="139"/>
        <v>01010101</v>
      </c>
      <c r="D202" s="2" t="str">
        <f t="shared" si="141"/>
        <v>55</v>
      </c>
      <c r="H202" s="11">
        <f t="shared" si="142"/>
        <v>2</v>
      </c>
      <c r="I202" s="4" t="str">
        <f>TEXT(DEC2BIN(H202), "00000")</f>
        <v>00010</v>
      </c>
      <c r="J202" s="1" t="s">
        <v>20</v>
      </c>
      <c r="K202" s="1" t="s">
        <v>28</v>
      </c>
    </row>
    <row r="203" spans="1:11" s="64" customFormat="1" ht="15" customHeight="1" x14ac:dyDescent="0.25">
      <c r="B203" s="69"/>
      <c r="D203" s="70"/>
      <c r="E203" s="50"/>
      <c r="F203" s="71"/>
      <c r="G203" s="71"/>
      <c r="H203" s="11"/>
      <c r="I203" s="4"/>
      <c r="J203" s="1"/>
      <c r="K203" s="50"/>
    </row>
    <row r="204" spans="1:11" s="64" customFormat="1" ht="15" customHeight="1" x14ac:dyDescent="0.25">
      <c r="A204" s="64" t="s">
        <v>90</v>
      </c>
      <c r="B204" s="69">
        <v>86</v>
      </c>
      <c r="C204" s="4" t="str">
        <f t="shared" ref="C204:C206" si="143">TEXT(DEC2BIN(B204), "00000000")</f>
        <v>01010110</v>
      </c>
      <c r="D204" s="2" t="str">
        <f>DEC2HEX(B204)</f>
        <v>56</v>
      </c>
      <c r="E204" s="50"/>
      <c r="F204" s="71"/>
      <c r="G204" s="71"/>
      <c r="H204" s="11">
        <v>0</v>
      </c>
      <c r="I204" s="4" t="str">
        <f>TEXT(DEC2BIN(H204), "00000")</f>
        <v>00000</v>
      </c>
      <c r="J204" s="1" t="s">
        <v>14</v>
      </c>
      <c r="K204" s="50"/>
    </row>
    <row r="205" spans="1:11" s="64" customFormat="1" ht="15" customHeight="1" x14ac:dyDescent="0.25">
      <c r="B205" s="3">
        <f t="shared" ref="B205:B206" si="144">(B204)</f>
        <v>86</v>
      </c>
      <c r="C205" s="4" t="str">
        <f t="shared" si="143"/>
        <v>01010110</v>
      </c>
      <c r="D205" s="2" t="str">
        <f t="shared" ref="D205:D206" si="145">DEC2HEX(B205)</f>
        <v>56</v>
      </c>
      <c r="E205" s="50"/>
      <c r="F205" s="71"/>
      <c r="G205" s="71"/>
      <c r="H205" s="11">
        <f t="shared" ref="H205:H206" si="146">H204+1</f>
        <v>1</v>
      </c>
      <c r="I205" s="4" t="str">
        <f>TEXT(DEC2BIN(H205), "00000")</f>
        <v>00001</v>
      </c>
      <c r="J205" s="1" t="s">
        <v>13</v>
      </c>
      <c r="K205" s="50"/>
    </row>
    <row r="206" spans="1:11" x14ac:dyDescent="0.25">
      <c r="B206" s="3">
        <f t="shared" si="144"/>
        <v>86</v>
      </c>
      <c r="C206" s="4" t="str">
        <f t="shared" si="143"/>
        <v>01010110</v>
      </c>
      <c r="D206" s="2" t="str">
        <f t="shared" si="145"/>
        <v>56</v>
      </c>
      <c r="H206" s="11">
        <f t="shared" si="146"/>
        <v>2</v>
      </c>
      <c r="I206" s="4" t="str">
        <f>TEXT(DEC2BIN(H206), "00000")</f>
        <v>00010</v>
      </c>
      <c r="J206" s="1" t="s">
        <v>20</v>
      </c>
      <c r="K206" s="1" t="s">
        <v>28</v>
      </c>
    </row>
    <row r="207" spans="1:11" s="64" customFormat="1" ht="15" customHeight="1" x14ac:dyDescent="0.25">
      <c r="B207" s="69"/>
      <c r="D207" s="70"/>
      <c r="E207" s="50"/>
      <c r="F207" s="71"/>
      <c r="G207" s="71"/>
      <c r="H207" s="11"/>
      <c r="I207" s="4"/>
      <c r="J207" s="1"/>
      <c r="K207" s="50"/>
    </row>
    <row r="208" spans="1:11" s="50" customFormat="1" ht="15" customHeight="1" x14ac:dyDescent="0.25">
      <c r="A208" s="64" t="s">
        <v>91</v>
      </c>
      <c r="B208" s="69">
        <v>87</v>
      </c>
      <c r="C208" s="4" t="str">
        <f t="shared" ref="C208:C210" si="147">TEXT(DEC2BIN(B208), "00000000")</f>
        <v>01010111</v>
      </c>
      <c r="D208" s="2" t="str">
        <f>DEC2HEX(B208)</f>
        <v>57</v>
      </c>
      <c r="E208" s="73"/>
      <c r="F208" s="74"/>
      <c r="G208" s="74"/>
      <c r="H208" s="11">
        <v>0</v>
      </c>
      <c r="I208" s="4" t="str">
        <f>TEXT(DEC2BIN(H208), "00000")</f>
        <v>00000</v>
      </c>
      <c r="J208" s="1" t="s">
        <v>14</v>
      </c>
      <c r="K208" s="73"/>
    </row>
    <row r="209" spans="1:11" s="50" customFormat="1" ht="15" customHeight="1" x14ac:dyDescent="0.25">
      <c r="A209" s="64"/>
      <c r="B209" s="3">
        <f t="shared" ref="B209:B210" si="148">(B208)</f>
        <v>87</v>
      </c>
      <c r="C209" s="4" t="str">
        <f t="shared" si="147"/>
        <v>01010111</v>
      </c>
      <c r="D209" s="2" t="str">
        <f t="shared" ref="D209:D210" si="149">DEC2HEX(B209)</f>
        <v>57</v>
      </c>
      <c r="E209" s="73"/>
      <c r="F209" s="74"/>
      <c r="G209" s="74"/>
      <c r="H209" s="11">
        <f t="shared" ref="H209:H210" si="150">H208+1</f>
        <v>1</v>
      </c>
      <c r="I209" s="4" t="str">
        <f>TEXT(DEC2BIN(H209), "00000")</f>
        <v>00001</v>
      </c>
      <c r="J209" s="1" t="s">
        <v>13</v>
      </c>
      <c r="K209" s="73"/>
    </row>
    <row r="210" spans="1:11" x14ac:dyDescent="0.25">
      <c r="B210" s="3">
        <f t="shared" si="148"/>
        <v>87</v>
      </c>
      <c r="C210" s="4" t="str">
        <f t="shared" si="147"/>
        <v>01010111</v>
      </c>
      <c r="D210" s="2" t="str">
        <f t="shared" si="149"/>
        <v>57</v>
      </c>
      <c r="H210" s="11">
        <f t="shared" si="150"/>
        <v>2</v>
      </c>
      <c r="I210" s="4" t="str">
        <f>TEXT(DEC2BIN(H210), "00000")</f>
        <v>00010</v>
      </c>
      <c r="J210" s="1" t="s">
        <v>20</v>
      </c>
      <c r="K210" s="1" t="s">
        <v>28</v>
      </c>
    </row>
    <row r="211" spans="1:11" x14ac:dyDescent="0.25">
      <c r="B211" s="3"/>
      <c r="C211" s="4"/>
      <c r="E211" s="1"/>
      <c r="F211" s="12"/>
      <c r="G211" s="12"/>
      <c r="H211" s="11"/>
      <c r="I211" s="4"/>
      <c r="J211" s="1"/>
      <c r="K211" s="1"/>
    </row>
    <row r="212" spans="1:11" s="77" customFormat="1" x14ac:dyDescent="0.25">
      <c r="A212" s="77" t="s">
        <v>63</v>
      </c>
      <c r="B212" s="78">
        <v>96</v>
      </c>
      <c r="C212" s="79" t="str">
        <f t="shared" ref="C212:C217" si="151">TEXT(DEC2BIN(B212), "00000000")</f>
        <v>01100000</v>
      </c>
      <c r="D212" s="80" t="str">
        <f t="shared" ref="D212:D217" si="152">DEC2HEX(B212)</f>
        <v>60</v>
      </c>
      <c r="E212" s="81" t="s">
        <v>113</v>
      </c>
      <c r="F212" s="82"/>
      <c r="G212" s="82"/>
      <c r="H212" s="81">
        <v>0</v>
      </c>
      <c r="I212" s="79" t="str">
        <f t="shared" ref="I212:I217" si="153">TEXT(DEC2BIN(H212), "00000")</f>
        <v>00000</v>
      </c>
      <c r="J212" s="81" t="s">
        <v>14</v>
      </c>
      <c r="K212" s="81" t="s">
        <v>18</v>
      </c>
    </row>
    <row r="213" spans="1:11" x14ac:dyDescent="0.25">
      <c r="B213" s="3">
        <f t="shared" ref="B213:B217" si="154">(B212)</f>
        <v>96</v>
      </c>
      <c r="C213" s="4" t="str">
        <f t="shared" si="151"/>
        <v>01100000</v>
      </c>
      <c r="D213" s="2" t="str">
        <f t="shared" si="152"/>
        <v>60</v>
      </c>
      <c r="E213" s="1"/>
      <c r="F213" s="12"/>
      <c r="G213" s="12"/>
      <c r="H213" s="1">
        <f>H212+1</f>
        <v>1</v>
      </c>
      <c r="I213" s="4" t="str">
        <f t="shared" si="153"/>
        <v>00001</v>
      </c>
      <c r="J213" s="1" t="s">
        <v>13</v>
      </c>
      <c r="K213" s="1"/>
    </row>
    <row r="214" spans="1:11" x14ac:dyDescent="0.25">
      <c r="B214" s="3">
        <f t="shared" si="154"/>
        <v>96</v>
      </c>
      <c r="C214" s="4" t="str">
        <f t="shared" si="151"/>
        <v>01100000</v>
      </c>
      <c r="D214" s="2" t="str">
        <f t="shared" si="152"/>
        <v>60</v>
      </c>
      <c r="E214" s="1"/>
      <c r="F214" s="12"/>
      <c r="G214" s="12"/>
      <c r="H214" s="11">
        <f>H213+1</f>
        <v>2</v>
      </c>
      <c r="I214" s="4" t="str">
        <f t="shared" si="153"/>
        <v>00010</v>
      </c>
      <c r="J214" s="11" t="s">
        <v>15</v>
      </c>
      <c r="K214" s="1"/>
    </row>
    <row r="215" spans="1:11" x14ac:dyDescent="0.25">
      <c r="B215" s="3">
        <f t="shared" si="154"/>
        <v>96</v>
      </c>
      <c r="C215" s="4" t="str">
        <f t="shared" si="151"/>
        <v>01100000</v>
      </c>
      <c r="D215" s="2" t="str">
        <f t="shared" si="152"/>
        <v>60</v>
      </c>
      <c r="E215" s="1"/>
      <c r="F215" s="12"/>
      <c r="G215" s="12"/>
      <c r="H215" s="11">
        <f>H214+1</f>
        <v>3</v>
      </c>
      <c r="I215" s="4" t="str">
        <f t="shared" si="153"/>
        <v>00011</v>
      </c>
      <c r="J215" s="1" t="s">
        <v>101</v>
      </c>
      <c r="K215" s="1"/>
    </row>
    <row r="216" spans="1:11" x14ac:dyDescent="0.25">
      <c r="B216" s="3">
        <f t="shared" si="154"/>
        <v>96</v>
      </c>
      <c r="C216" s="4" t="str">
        <f t="shared" si="151"/>
        <v>01100000</v>
      </c>
      <c r="D216" s="2" t="str">
        <f t="shared" si="152"/>
        <v>60</v>
      </c>
      <c r="E216" s="1"/>
      <c r="F216" s="12"/>
      <c r="G216" s="12"/>
      <c r="H216" s="11">
        <f>H215+1</f>
        <v>4</v>
      </c>
      <c r="I216" s="4" t="str">
        <f t="shared" si="153"/>
        <v>00100</v>
      </c>
      <c r="J216" s="1" t="s">
        <v>102</v>
      </c>
      <c r="K216" s="1"/>
    </row>
    <row r="217" spans="1:11" x14ac:dyDescent="0.25">
      <c r="B217" s="3">
        <f t="shared" si="154"/>
        <v>96</v>
      </c>
      <c r="C217" s="4" t="str">
        <f t="shared" si="151"/>
        <v>01100000</v>
      </c>
      <c r="D217" s="2" t="str">
        <f t="shared" si="152"/>
        <v>60</v>
      </c>
      <c r="E217" s="1"/>
      <c r="F217" s="12"/>
      <c r="G217" s="12"/>
      <c r="H217" s="11">
        <f>H216+1</f>
        <v>5</v>
      </c>
      <c r="I217" s="4" t="str">
        <f t="shared" si="153"/>
        <v>00101</v>
      </c>
      <c r="J217" s="1" t="s">
        <v>20</v>
      </c>
      <c r="K217" s="1" t="s">
        <v>28</v>
      </c>
    </row>
    <row r="218" spans="1:11" x14ac:dyDescent="0.25">
      <c r="B218" s="3"/>
      <c r="C218" s="4"/>
      <c r="E218" s="1"/>
      <c r="F218" s="12"/>
      <c r="G218" s="12"/>
      <c r="H218" s="1"/>
      <c r="I218" s="4"/>
      <c r="J218" s="1"/>
      <c r="K218" s="1"/>
    </row>
    <row r="219" spans="1:11" x14ac:dyDescent="0.25">
      <c r="A219" t="s">
        <v>64</v>
      </c>
      <c r="B219" s="3">
        <v>97</v>
      </c>
      <c r="C219" s="4" t="str">
        <f t="shared" ref="C219:C229" si="155">TEXT(DEC2BIN(B219), "00000000")</f>
        <v>01100001</v>
      </c>
      <c r="D219" s="2" t="str">
        <f>DEC2HEX(B219)</f>
        <v>61</v>
      </c>
      <c r="E219" s="1" t="s">
        <v>112</v>
      </c>
      <c r="F219" s="12"/>
      <c r="G219" s="12"/>
      <c r="H219" s="11">
        <v>0</v>
      </c>
      <c r="I219" s="4" t="str">
        <f t="shared" ref="I219:I229" si="156">TEXT(DEC2BIN(H219), "00000")</f>
        <v>00000</v>
      </c>
      <c r="J219" s="1" t="s">
        <v>14</v>
      </c>
      <c r="K219" s="1" t="s">
        <v>18</v>
      </c>
    </row>
    <row r="220" spans="1:11" x14ac:dyDescent="0.25">
      <c r="B220" s="3">
        <f>B219</f>
        <v>97</v>
      </c>
      <c r="C220" s="4" t="str">
        <f t="shared" si="155"/>
        <v>01100001</v>
      </c>
      <c r="D220" s="2" t="str">
        <f t="shared" ref="D220:D229" si="157">DEC2HEX(B220)</f>
        <v>61</v>
      </c>
      <c r="E220" s="1"/>
      <c r="F220" s="12"/>
      <c r="G220" s="12"/>
      <c r="H220" s="11">
        <f t="shared" ref="H220:H229" si="158">H219+1</f>
        <v>1</v>
      </c>
      <c r="I220" s="4" t="str">
        <f t="shared" si="156"/>
        <v>00001</v>
      </c>
      <c r="J220" s="1" t="s">
        <v>13</v>
      </c>
      <c r="K220" s="1"/>
    </row>
    <row r="221" spans="1:11" x14ac:dyDescent="0.25">
      <c r="B221" s="3">
        <f t="shared" ref="B221:B229" si="159">B220</f>
        <v>97</v>
      </c>
      <c r="C221" s="4" t="str">
        <f t="shared" si="155"/>
        <v>01100001</v>
      </c>
      <c r="D221" s="2" t="str">
        <f t="shared" si="157"/>
        <v>61</v>
      </c>
      <c r="E221" s="1"/>
      <c r="F221" s="12"/>
      <c r="G221" s="12"/>
      <c r="H221" s="11">
        <f t="shared" si="158"/>
        <v>2</v>
      </c>
      <c r="I221" s="4" t="str">
        <f t="shared" si="156"/>
        <v>00010</v>
      </c>
      <c r="J221" s="11" t="s">
        <v>15</v>
      </c>
      <c r="K221" s="1"/>
    </row>
    <row r="222" spans="1:11" x14ac:dyDescent="0.25">
      <c r="B222" s="3">
        <f t="shared" si="159"/>
        <v>97</v>
      </c>
      <c r="C222" s="4" t="str">
        <f t="shared" si="155"/>
        <v>01100001</v>
      </c>
      <c r="D222" s="2" t="str">
        <f t="shared" si="157"/>
        <v>61</v>
      </c>
      <c r="E222" s="1"/>
      <c r="F222" s="12"/>
      <c r="G222" s="12"/>
      <c r="H222" s="11">
        <f t="shared" si="158"/>
        <v>3</v>
      </c>
      <c r="I222" s="4" t="str">
        <f t="shared" si="156"/>
        <v>00011</v>
      </c>
      <c r="J222" s="1" t="s">
        <v>47</v>
      </c>
      <c r="K222" s="1"/>
    </row>
    <row r="223" spans="1:11" x14ac:dyDescent="0.25">
      <c r="B223" s="3">
        <f t="shared" si="159"/>
        <v>97</v>
      </c>
      <c r="C223" s="4" t="str">
        <f t="shared" si="155"/>
        <v>01100001</v>
      </c>
      <c r="D223" s="2" t="str">
        <f t="shared" si="157"/>
        <v>61</v>
      </c>
      <c r="E223" s="1"/>
      <c r="F223" s="12"/>
      <c r="G223" s="12"/>
      <c r="H223" s="11">
        <f t="shared" si="158"/>
        <v>4</v>
      </c>
      <c r="I223" s="4" t="str">
        <f t="shared" si="156"/>
        <v>00100</v>
      </c>
      <c r="J223" s="1" t="s">
        <v>48</v>
      </c>
      <c r="K223" s="1"/>
    </row>
    <row r="224" spans="1:11" x14ac:dyDescent="0.25">
      <c r="B224" s="3">
        <f t="shared" si="159"/>
        <v>97</v>
      </c>
      <c r="C224" s="4" t="str">
        <f t="shared" si="155"/>
        <v>01100001</v>
      </c>
      <c r="D224" s="2" t="str">
        <f t="shared" si="157"/>
        <v>61</v>
      </c>
      <c r="E224" s="1"/>
      <c r="F224" s="12"/>
      <c r="G224" s="12"/>
      <c r="H224" s="11">
        <f t="shared" si="158"/>
        <v>5</v>
      </c>
      <c r="I224" s="4" t="str">
        <f t="shared" si="156"/>
        <v>00101</v>
      </c>
      <c r="J224" s="11" t="s">
        <v>15</v>
      </c>
      <c r="K224" s="1"/>
    </row>
    <row r="225" spans="1:11" x14ac:dyDescent="0.25">
      <c r="B225" s="3">
        <f t="shared" si="159"/>
        <v>97</v>
      </c>
      <c r="C225" s="4" t="str">
        <f t="shared" si="155"/>
        <v>01100001</v>
      </c>
      <c r="D225" s="2" t="str">
        <f t="shared" si="157"/>
        <v>61</v>
      </c>
      <c r="E225" s="1"/>
      <c r="F225" s="12"/>
      <c r="G225" s="12"/>
      <c r="H225" s="11">
        <f t="shared" si="158"/>
        <v>6</v>
      </c>
      <c r="I225" s="4" t="str">
        <f t="shared" si="156"/>
        <v>00110</v>
      </c>
      <c r="J225" s="1" t="s">
        <v>49</v>
      </c>
      <c r="K225" s="1"/>
    </row>
    <row r="226" spans="1:11" x14ac:dyDescent="0.25">
      <c r="B226" s="3">
        <f t="shared" si="159"/>
        <v>97</v>
      </c>
      <c r="C226" s="4" t="str">
        <f t="shared" si="155"/>
        <v>01100001</v>
      </c>
      <c r="D226" s="2" t="str">
        <f t="shared" si="157"/>
        <v>61</v>
      </c>
      <c r="E226" s="1"/>
      <c r="F226" s="12"/>
      <c r="G226" s="12"/>
      <c r="H226" s="11">
        <f t="shared" si="158"/>
        <v>7</v>
      </c>
      <c r="I226" s="4" t="str">
        <f t="shared" si="156"/>
        <v>00111</v>
      </c>
      <c r="J226" s="1" t="s">
        <v>59</v>
      </c>
      <c r="K226" s="1"/>
    </row>
    <row r="227" spans="1:11" x14ac:dyDescent="0.25">
      <c r="B227" s="3">
        <f t="shared" si="159"/>
        <v>97</v>
      </c>
      <c r="C227" s="4" t="str">
        <f t="shared" si="155"/>
        <v>01100001</v>
      </c>
      <c r="D227" s="2" t="str">
        <f t="shared" si="157"/>
        <v>61</v>
      </c>
      <c r="E227" s="1"/>
      <c r="F227" s="12"/>
      <c r="G227" s="12"/>
      <c r="H227" s="11">
        <f t="shared" si="158"/>
        <v>8</v>
      </c>
      <c r="I227" s="4" t="str">
        <f t="shared" si="156"/>
        <v>01000</v>
      </c>
      <c r="J227" s="11" t="s">
        <v>103</v>
      </c>
      <c r="K227" s="1"/>
    </row>
    <row r="228" spans="1:11" x14ac:dyDescent="0.25">
      <c r="B228" s="3">
        <f t="shared" si="159"/>
        <v>97</v>
      </c>
      <c r="C228" s="4" t="str">
        <f t="shared" si="155"/>
        <v>01100001</v>
      </c>
      <c r="D228" s="2" t="str">
        <f t="shared" si="157"/>
        <v>61</v>
      </c>
      <c r="E228" s="1"/>
      <c r="F228" s="12"/>
      <c r="G228" s="12"/>
      <c r="H228" s="11">
        <f t="shared" si="158"/>
        <v>9</v>
      </c>
      <c r="I228" s="4" t="str">
        <f t="shared" si="156"/>
        <v>01001</v>
      </c>
      <c r="J228" s="11" t="s">
        <v>104</v>
      </c>
      <c r="K228" s="1"/>
    </row>
    <row r="229" spans="1:11" x14ac:dyDescent="0.25">
      <c r="B229" s="3">
        <f t="shared" si="159"/>
        <v>97</v>
      </c>
      <c r="C229" s="4" t="str">
        <f t="shared" si="155"/>
        <v>01100001</v>
      </c>
      <c r="D229" s="2" t="str">
        <f t="shared" si="157"/>
        <v>61</v>
      </c>
      <c r="E229" s="1"/>
      <c r="F229" s="12"/>
      <c r="G229" s="12"/>
      <c r="H229" s="11">
        <f t="shared" si="158"/>
        <v>10</v>
      </c>
      <c r="I229" s="4" t="str">
        <f t="shared" si="156"/>
        <v>01010</v>
      </c>
      <c r="J229" s="1" t="s">
        <v>20</v>
      </c>
      <c r="K229" s="1" t="s">
        <v>28</v>
      </c>
    </row>
    <row r="230" spans="1:11" x14ac:dyDescent="0.25">
      <c r="B230" s="3"/>
      <c r="C230" s="4"/>
      <c r="E230" s="1"/>
      <c r="F230" s="12"/>
      <c r="G230" s="12"/>
      <c r="H230" s="11"/>
      <c r="I230" s="4"/>
      <c r="J230" s="1"/>
      <c r="K230" s="1"/>
    </row>
    <row r="231" spans="1:11" x14ac:dyDescent="0.25">
      <c r="A231" t="s">
        <v>65</v>
      </c>
      <c r="B231" s="3">
        <v>98</v>
      </c>
      <c r="C231" s="4" t="str">
        <f t="shared" ref="C231:C240" si="160">TEXT(DEC2BIN(B231), "00000000")</f>
        <v>01100010</v>
      </c>
      <c r="D231" s="2" t="str">
        <f t="shared" ref="D231:D240" si="161">DEC2HEX(B231)</f>
        <v>62</v>
      </c>
      <c r="E231" s="1" t="s">
        <v>111</v>
      </c>
      <c r="F231" s="12"/>
      <c r="G231" s="12"/>
      <c r="H231" s="11">
        <v>0</v>
      </c>
      <c r="I231" s="4" t="str">
        <f t="shared" ref="I231:I240" si="162">TEXT(DEC2BIN(H231), "00000")</f>
        <v>00000</v>
      </c>
      <c r="J231" s="1" t="s">
        <v>14</v>
      </c>
      <c r="K231" s="1" t="s">
        <v>18</v>
      </c>
    </row>
    <row r="232" spans="1:11" x14ac:dyDescent="0.25">
      <c r="B232" s="3">
        <f t="shared" ref="B232:B240" si="163">(B231)</f>
        <v>98</v>
      </c>
      <c r="C232" s="4" t="str">
        <f t="shared" si="160"/>
        <v>01100010</v>
      </c>
      <c r="D232" s="2" t="str">
        <f t="shared" si="161"/>
        <v>62</v>
      </c>
      <c r="E232" s="1"/>
      <c r="F232" s="12"/>
      <c r="G232" s="12"/>
      <c r="H232" s="11">
        <f t="shared" ref="H232:H240" si="164">H231+1</f>
        <v>1</v>
      </c>
      <c r="I232" s="4" t="str">
        <f t="shared" si="162"/>
        <v>00001</v>
      </c>
      <c r="J232" s="1" t="s">
        <v>13</v>
      </c>
      <c r="K232" s="1"/>
    </row>
    <row r="233" spans="1:11" x14ac:dyDescent="0.25">
      <c r="B233" s="3">
        <f t="shared" si="163"/>
        <v>98</v>
      </c>
      <c r="C233" s="4" t="str">
        <f t="shared" si="160"/>
        <v>01100010</v>
      </c>
      <c r="D233" s="2" t="str">
        <f t="shared" si="161"/>
        <v>62</v>
      </c>
      <c r="E233" s="1"/>
      <c r="F233" s="12"/>
      <c r="G233" s="12"/>
      <c r="H233" s="11">
        <f t="shared" si="164"/>
        <v>2</v>
      </c>
      <c r="I233" s="4" t="str">
        <f t="shared" si="162"/>
        <v>00010</v>
      </c>
      <c r="J233" s="11" t="s">
        <v>15</v>
      </c>
      <c r="K233" s="11" t="s">
        <v>25</v>
      </c>
    </row>
    <row r="234" spans="1:11" x14ac:dyDescent="0.25">
      <c r="B234" s="3">
        <f t="shared" si="163"/>
        <v>98</v>
      </c>
      <c r="C234" s="4" t="str">
        <f t="shared" si="160"/>
        <v>01100010</v>
      </c>
      <c r="D234" s="2" t="str">
        <f t="shared" si="161"/>
        <v>62</v>
      </c>
      <c r="E234" s="1"/>
      <c r="F234" s="12"/>
      <c r="G234" s="12"/>
      <c r="H234" s="11">
        <f t="shared" si="164"/>
        <v>3</v>
      </c>
      <c r="I234" s="4" t="str">
        <f t="shared" si="162"/>
        <v>00011</v>
      </c>
      <c r="J234" s="1" t="s">
        <v>49</v>
      </c>
      <c r="K234" s="11" t="s">
        <v>19</v>
      </c>
    </row>
    <row r="235" spans="1:11" x14ac:dyDescent="0.25">
      <c r="B235" s="3">
        <f t="shared" si="163"/>
        <v>98</v>
      </c>
      <c r="C235" s="4" t="str">
        <f t="shared" si="160"/>
        <v>01100010</v>
      </c>
      <c r="D235" s="2" t="str">
        <f t="shared" si="161"/>
        <v>62</v>
      </c>
      <c r="E235" s="1"/>
      <c r="F235" s="12"/>
      <c r="G235" s="12"/>
      <c r="H235" s="11">
        <f t="shared" si="164"/>
        <v>4</v>
      </c>
      <c r="I235" s="4" t="str">
        <f t="shared" si="162"/>
        <v>00100</v>
      </c>
      <c r="J235" s="1" t="s">
        <v>50</v>
      </c>
      <c r="K235" s="1"/>
    </row>
    <row r="236" spans="1:11" x14ac:dyDescent="0.25">
      <c r="B236" s="3">
        <f t="shared" si="163"/>
        <v>98</v>
      </c>
      <c r="C236" s="4" t="str">
        <f t="shared" si="160"/>
        <v>01100010</v>
      </c>
      <c r="D236" s="2" t="str">
        <f t="shared" si="161"/>
        <v>62</v>
      </c>
      <c r="E236" s="1"/>
      <c r="F236" s="12"/>
      <c r="G236" s="12"/>
      <c r="H236" s="11">
        <f t="shared" si="164"/>
        <v>5</v>
      </c>
      <c r="I236" s="4" t="str">
        <f t="shared" si="162"/>
        <v>00101</v>
      </c>
      <c r="J236" s="11" t="s">
        <v>15</v>
      </c>
      <c r="K236" s="11" t="s">
        <v>25</v>
      </c>
    </row>
    <row r="237" spans="1:11" x14ac:dyDescent="0.25">
      <c r="B237" s="3">
        <f t="shared" si="163"/>
        <v>98</v>
      </c>
      <c r="C237" s="4" t="str">
        <f t="shared" si="160"/>
        <v>01100010</v>
      </c>
      <c r="D237" s="2" t="str">
        <f t="shared" si="161"/>
        <v>62</v>
      </c>
      <c r="E237" s="1"/>
      <c r="F237" s="12"/>
      <c r="G237" s="12"/>
      <c r="H237" s="11">
        <f t="shared" si="164"/>
        <v>6</v>
      </c>
      <c r="I237" s="4" t="str">
        <f t="shared" si="162"/>
        <v>00110</v>
      </c>
      <c r="J237" s="1" t="s">
        <v>47</v>
      </c>
      <c r="K237" s="11" t="s">
        <v>21</v>
      </c>
    </row>
    <row r="238" spans="1:11" x14ac:dyDescent="0.25">
      <c r="B238" s="3">
        <f t="shared" si="163"/>
        <v>98</v>
      </c>
      <c r="C238" s="4" t="str">
        <f t="shared" si="160"/>
        <v>01100010</v>
      </c>
      <c r="D238" s="2" t="str">
        <f t="shared" si="161"/>
        <v>62</v>
      </c>
      <c r="E238" s="1"/>
      <c r="F238" s="12"/>
      <c r="G238" s="12"/>
      <c r="H238" s="11">
        <f t="shared" si="164"/>
        <v>7</v>
      </c>
      <c r="I238" s="4" t="str">
        <f t="shared" si="162"/>
        <v>00111</v>
      </c>
      <c r="J238" s="1" t="s">
        <v>48</v>
      </c>
      <c r="K238" s="11"/>
    </row>
    <row r="239" spans="1:11" x14ac:dyDescent="0.25">
      <c r="B239" s="3">
        <f t="shared" si="163"/>
        <v>98</v>
      </c>
      <c r="C239" s="4" t="str">
        <f t="shared" si="160"/>
        <v>01100010</v>
      </c>
      <c r="D239" s="2" t="str">
        <f t="shared" si="161"/>
        <v>62</v>
      </c>
      <c r="H239" s="11">
        <f t="shared" si="164"/>
        <v>8</v>
      </c>
      <c r="I239" s="4" t="str">
        <f t="shared" si="162"/>
        <v>01000</v>
      </c>
      <c r="J239" s="11" t="s">
        <v>107</v>
      </c>
      <c r="K239" s="11" t="s">
        <v>108</v>
      </c>
    </row>
    <row r="240" spans="1:11" x14ac:dyDescent="0.25">
      <c r="B240" s="3">
        <f t="shared" si="163"/>
        <v>98</v>
      </c>
      <c r="C240" s="4" t="str">
        <f t="shared" si="160"/>
        <v>01100010</v>
      </c>
      <c r="D240" s="2" t="str">
        <f t="shared" si="161"/>
        <v>62</v>
      </c>
      <c r="H240" s="11">
        <f t="shared" si="164"/>
        <v>9</v>
      </c>
      <c r="I240" s="4" t="str">
        <f t="shared" si="162"/>
        <v>01001</v>
      </c>
      <c r="J240" s="1" t="s">
        <v>20</v>
      </c>
      <c r="K240" s="1" t="s">
        <v>28</v>
      </c>
    </row>
    <row r="241" spans="1:11" x14ac:dyDescent="0.25">
      <c r="B241" s="3"/>
      <c r="C241" s="4"/>
      <c r="H241" s="11"/>
      <c r="I241" s="4"/>
      <c r="J241" s="1"/>
      <c r="K241" s="1"/>
    </row>
    <row r="242" spans="1:11" s="50" customFormat="1" ht="15" customHeight="1" x14ac:dyDescent="0.25">
      <c r="A242" s="64" t="s">
        <v>92</v>
      </c>
      <c r="B242" s="69">
        <v>99</v>
      </c>
      <c r="C242" s="4" t="str">
        <f t="shared" ref="C242:C244" si="165">TEXT(DEC2BIN(B242), "00000000")</f>
        <v>01100011</v>
      </c>
      <c r="D242" s="2" t="str">
        <f>DEC2HEX(B242)</f>
        <v>63</v>
      </c>
      <c r="F242" s="71"/>
      <c r="G242" s="71"/>
      <c r="H242" s="11">
        <v>0</v>
      </c>
      <c r="I242" s="4" t="str">
        <f>TEXT(DEC2BIN(H242), "00000")</f>
        <v>00000</v>
      </c>
      <c r="J242" s="1" t="s">
        <v>14</v>
      </c>
    </row>
    <row r="243" spans="1:11" s="50" customFormat="1" ht="15" customHeight="1" x14ac:dyDescent="0.25">
      <c r="A243" s="64"/>
      <c r="B243" s="3">
        <f t="shared" ref="B243:B244" si="166">(B242)</f>
        <v>99</v>
      </c>
      <c r="C243" s="4" t="str">
        <f t="shared" si="165"/>
        <v>01100011</v>
      </c>
      <c r="D243" s="2" t="str">
        <f t="shared" ref="D243:D244" si="167">DEC2HEX(B243)</f>
        <v>63</v>
      </c>
      <c r="F243" s="71"/>
      <c r="G243" s="71"/>
      <c r="H243" s="11">
        <f t="shared" ref="H243:H244" si="168">H242+1</f>
        <v>1</v>
      </c>
      <c r="I243" s="4" t="str">
        <f>TEXT(DEC2BIN(H243), "00000")</f>
        <v>00001</v>
      </c>
      <c r="J243" s="1" t="s">
        <v>13</v>
      </c>
    </row>
    <row r="244" spans="1:11" x14ac:dyDescent="0.25">
      <c r="B244" s="3">
        <f t="shared" si="166"/>
        <v>99</v>
      </c>
      <c r="C244" s="4" t="str">
        <f t="shared" si="165"/>
        <v>01100011</v>
      </c>
      <c r="D244" s="2" t="str">
        <f t="shared" si="167"/>
        <v>63</v>
      </c>
      <c r="H244" s="11">
        <f t="shared" si="168"/>
        <v>2</v>
      </c>
      <c r="I244" s="4" t="str">
        <f>TEXT(DEC2BIN(H244), "00000")</f>
        <v>00010</v>
      </c>
      <c r="J244" s="1" t="s">
        <v>20</v>
      </c>
      <c r="K244" s="1" t="s">
        <v>28</v>
      </c>
    </row>
    <row r="245" spans="1:11" s="50" customFormat="1" ht="15" customHeight="1" x14ac:dyDescent="0.25">
      <c r="A245" s="64"/>
      <c r="B245" s="69"/>
      <c r="D245" s="72"/>
      <c r="F245" s="71"/>
      <c r="G245" s="71"/>
      <c r="H245" s="11"/>
      <c r="I245" s="4"/>
      <c r="J245" s="1"/>
    </row>
    <row r="246" spans="1:11" s="50" customFormat="1" ht="15" customHeight="1" x14ac:dyDescent="0.25">
      <c r="A246" s="64" t="s">
        <v>93</v>
      </c>
      <c r="B246" s="69">
        <v>100</v>
      </c>
      <c r="C246" s="4" t="str">
        <f t="shared" ref="C246:C248" si="169">TEXT(DEC2BIN(B246), "00000000")</f>
        <v>01100100</v>
      </c>
      <c r="D246" s="2" t="str">
        <f>DEC2HEX(B246)</f>
        <v>64</v>
      </c>
      <c r="F246" s="71"/>
      <c r="G246" s="71"/>
      <c r="H246" s="11">
        <v>0</v>
      </c>
      <c r="I246" s="4" t="str">
        <f>TEXT(DEC2BIN(H246), "00000")</f>
        <v>00000</v>
      </c>
      <c r="J246" s="1" t="s">
        <v>14</v>
      </c>
    </row>
    <row r="247" spans="1:11" s="50" customFormat="1" ht="15" customHeight="1" x14ac:dyDescent="0.25">
      <c r="A247" s="64"/>
      <c r="B247" s="3">
        <f t="shared" ref="B247:B248" si="170">(B246)</f>
        <v>100</v>
      </c>
      <c r="C247" s="4" t="str">
        <f t="shared" si="169"/>
        <v>01100100</v>
      </c>
      <c r="D247" s="2" t="str">
        <f t="shared" ref="D247:D248" si="171">DEC2HEX(B247)</f>
        <v>64</v>
      </c>
      <c r="F247" s="71"/>
      <c r="G247" s="71"/>
      <c r="H247" s="11">
        <f t="shared" ref="H247:H248" si="172">H246+1</f>
        <v>1</v>
      </c>
      <c r="I247" s="4" t="str">
        <f>TEXT(DEC2BIN(H247), "00000")</f>
        <v>00001</v>
      </c>
      <c r="J247" s="1" t="s">
        <v>13</v>
      </c>
    </row>
    <row r="248" spans="1:11" x14ac:dyDescent="0.25">
      <c r="B248" s="3">
        <f t="shared" si="170"/>
        <v>100</v>
      </c>
      <c r="C248" s="4" t="str">
        <f t="shared" si="169"/>
        <v>01100100</v>
      </c>
      <c r="D248" s="2" t="str">
        <f t="shared" si="171"/>
        <v>64</v>
      </c>
      <c r="H248" s="11">
        <f t="shared" si="172"/>
        <v>2</v>
      </c>
      <c r="I248" s="4" t="str">
        <f>TEXT(DEC2BIN(H248), "00000")</f>
        <v>00010</v>
      </c>
      <c r="J248" s="1" t="s">
        <v>20</v>
      </c>
      <c r="K248" s="1" t="s">
        <v>28</v>
      </c>
    </row>
    <row r="249" spans="1:11" s="50" customFormat="1" ht="15" customHeight="1" x14ac:dyDescent="0.25">
      <c r="A249" s="64"/>
      <c r="B249" s="69"/>
      <c r="D249" s="72"/>
      <c r="F249" s="71"/>
      <c r="G249" s="71"/>
      <c r="H249" s="11"/>
      <c r="I249" s="4"/>
      <c r="J249" s="1"/>
    </row>
    <row r="250" spans="1:11" s="50" customFormat="1" ht="15" customHeight="1" x14ac:dyDescent="0.25">
      <c r="A250" s="64" t="s">
        <v>94</v>
      </c>
      <c r="B250" s="69">
        <v>101</v>
      </c>
      <c r="C250" s="4" t="str">
        <f t="shared" ref="C250:C252" si="173">TEXT(DEC2BIN(B250), "00000000")</f>
        <v>01100101</v>
      </c>
      <c r="D250" s="2" t="str">
        <f>DEC2HEX(B250)</f>
        <v>65</v>
      </c>
      <c r="F250" s="71"/>
      <c r="G250" s="71"/>
      <c r="H250" s="11">
        <v>0</v>
      </c>
      <c r="I250" s="4" t="str">
        <f>TEXT(DEC2BIN(H250), "00000")</f>
        <v>00000</v>
      </c>
      <c r="J250" s="1" t="s">
        <v>14</v>
      </c>
    </row>
    <row r="251" spans="1:11" s="50" customFormat="1" ht="15" customHeight="1" x14ac:dyDescent="0.25">
      <c r="A251" s="64"/>
      <c r="B251" s="3">
        <f t="shared" ref="B251:B252" si="174">(B250)</f>
        <v>101</v>
      </c>
      <c r="C251" s="4" t="str">
        <f t="shared" si="173"/>
        <v>01100101</v>
      </c>
      <c r="D251" s="2" t="str">
        <f t="shared" ref="D251:D252" si="175">DEC2HEX(B251)</f>
        <v>65</v>
      </c>
      <c r="F251" s="71"/>
      <c r="G251" s="71"/>
      <c r="H251" s="11">
        <f t="shared" ref="H251:H252" si="176">H250+1</f>
        <v>1</v>
      </c>
      <c r="I251" s="4" t="str">
        <f>TEXT(DEC2BIN(H251), "00000")</f>
        <v>00001</v>
      </c>
      <c r="J251" s="1" t="s">
        <v>13</v>
      </c>
    </row>
    <row r="252" spans="1:11" x14ac:dyDescent="0.25">
      <c r="B252" s="3">
        <f t="shared" si="174"/>
        <v>101</v>
      </c>
      <c r="C252" s="4" t="str">
        <f t="shared" si="173"/>
        <v>01100101</v>
      </c>
      <c r="D252" s="2" t="str">
        <f t="shared" si="175"/>
        <v>65</v>
      </c>
      <c r="H252" s="11">
        <f t="shared" si="176"/>
        <v>2</v>
      </c>
      <c r="I252" s="4" t="str">
        <f>TEXT(DEC2BIN(H252), "00000")</f>
        <v>00010</v>
      </c>
      <c r="J252" s="1" t="s">
        <v>20</v>
      </c>
      <c r="K252" s="1" t="s">
        <v>28</v>
      </c>
    </row>
    <row r="253" spans="1:11" s="50" customFormat="1" ht="15" customHeight="1" x14ac:dyDescent="0.25">
      <c r="A253" s="64"/>
      <c r="B253" s="69"/>
      <c r="D253" s="72"/>
      <c r="F253" s="71"/>
      <c r="G253" s="71"/>
      <c r="H253" s="11"/>
      <c r="I253" s="4"/>
      <c r="J253" s="1"/>
    </row>
    <row r="254" spans="1:11" s="50" customFormat="1" ht="15" customHeight="1" x14ac:dyDescent="0.25">
      <c r="A254" s="64" t="s">
        <v>95</v>
      </c>
      <c r="B254" s="69">
        <v>102</v>
      </c>
      <c r="C254" s="4" t="str">
        <f t="shared" ref="C254:C256" si="177">TEXT(DEC2BIN(B254), "00000000")</f>
        <v>01100110</v>
      </c>
      <c r="D254" s="2" t="str">
        <f>DEC2HEX(B254)</f>
        <v>66</v>
      </c>
      <c r="F254" s="71"/>
      <c r="G254" s="71"/>
      <c r="H254" s="11">
        <v>0</v>
      </c>
      <c r="I254" s="4" t="str">
        <f>TEXT(DEC2BIN(H254), "00000")</f>
        <v>00000</v>
      </c>
      <c r="J254" s="1" t="s">
        <v>14</v>
      </c>
    </row>
    <row r="255" spans="1:11" s="50" customFormat="1" ht="15" customHeight="1" x14ac:dyDescent="0.25">
      <c r="A255" s="64"/>
      <c r="B255" s="3">
        <f t="shared" ref="B255:B256" si="178">(B254)</f>
        <v>102</v>
      </c>
      <c r="C255" s="4" t="str">
        <f t="shared" si="177"/>
        <v>01100110</v>
      </c>
      <c r="D255" s="2" t="str">
        <f t="shared" ref="D255:D256" si="179">DEC2HEX(B255)</f>
        <v>66</v>
      </c>
      <c r="F255" s="71"/>
      <c r="G255" s="71"/>
      <c r="H255" s="11">
        <f t="shared" ref="H255:H256" si="180">H254+1</f>
        <v>1</v>
      </c>
      <c r="I255" s="4" t="str">
        <f>TEXT(DEC2BIN(H255), "00000")</f>
        <v>00001</v>
      </c>
      <c r="J255" s="1" t="s">
        <v>13</v>
      </c>
    </row>
    <row r="256" spans="1:11" x14ac:dyDescent="0.25">
      <c r="B256" s="3">
        <f t="shared" si="178"/>
        <v>102</v>
      </c>
      <c r="C256" s="4" t="str">
        <f t="shared" si="177"/>
        <v>01100110</v>
      </c>
      <c r="D256" s="2" t="str">
        <f t="shared" si="179"/>
        <v>66</v>
      </c>
      <c r="H256" s="11">
        <f t="shared" si="180"/>
        <v>2</v>
      </c>
      <c r="I256" s="4" t="str">
        <f>TEXT(DEC2BIN(H256), "00000")</f>
        <v>00010</v>
      </c>
      <c r="J256" s="1" t="s">
        <v>20</v>
      </c>
      <c r="K256" s="1" t="s">
        <v>28</v>
      </c>
    </row>
    <row r="257" spans="1:11" s="50" customFormat="1" ht="15" customHeight="1" x14ac:dyDescent="0.25">
      <c r="A257" s="64"/>
      <c r="B257" s="69"/>
      <c r="D257" s="72"/>
      <c r="F257" s="71"/>
      <c r="G257" s="71"/>
      <c r="H257" s="11"/>
      <c r="I257" s="4"/>
      <c r="J257" s="1"/>
    </row>
    <row r="258" spans="1:11" s="50" customFormat="1" ht="15" customHeight="1" x14ac:dyDescent="0.25">
      <c r="A258" s="64" t="s">
        <v>96</v>
      </c>
      <c r="B258" s="69">
        <v>103</v>
      </c>
      <c r="C258" s="4" t="str">
        <f t="shared" ref="C258:C260" si="181">TEXT(DEC2BIN(B258), "00000000")</f>
        <v>01100111</v>
      </c>
      <c r="D258" s="2" t="str">
        <f>DEC2HEX(B258)</f>
        <v>67</v>
      </c>
      <c r="F258" s="71"/>
      <c r="G258" s="71"/>
      <c r="H258" s="11">
        <v>0</v>
      </c>
      <c r="I258" s="4" t="str">
        <f>TEXT(DEC2BIN(H258), "00000")</f>
        <v>00000</v>
      </c>
      <c r="J258" s="1" t="s">
        <v>14</v>
      </c>
    </row>
    <row r="259" spans="1:11" s="50" customFormat="1" x14ac:dyDescent="0.25">
      <c r="B259" s="3">
        <f t="shared" ref="B259:B260" si="182">(B258)</f>
        <v>103</v>
      </c>
      <c r="C259" s="4" t="str">
        <f t="shared" si="181"/>
        <v>01100111</v>
      </c>
      <c r="D259" s="2" t="str">
        <f t="shared" ref="D259:D260" si="183">DEC2HEX(B259)</f>
        <v>67</v>
      </c>
      <c r="F259" s="71"/>
      <c r="G259" s="71"/>
      <c r="H259" s="11">
        <f t="shared" ref="H259:H260" si="184">H258+1</f>
        <v>1</v>
      </c>
      <c r="I259" s="4" t="str">
        <f>TEXT(DEC2BIN(H259), "00000")</f>
        <v>00001</v>
      </c>
      <c r="J259" s="1" t="s">
        <v>13</v>
      </c>
    </row>
    <row r="260" spans="1:11" x14ac:dyDescent="0.25">
      <c r="B260" s="3">
        <f t="shared" si="182"/>
        <v>103</v>
      </c>
      <c r="C260" s="4" t="str">
        <f t="shared" si="181"/>
        <v>01100111</v>
      </c>
      <c r="D260" s="2" t="str">
        <f t="shared" si="183"/>
        <v>67</v>
      </c>
      <c r="H260" s="11">
        <f t="shared" si="184"/>
        <v>2</v>
      </c>
      <c r="I260" s="4" t="str">
        <f t="shared" ref="I260" si="185">TEXT(DEC2BIN(H260), "00000")</f>
        <v>00010</v>
      </c>
      <c r="J260" s="1" t="s">
        <v>20</v>
      </c>
      <c r="K260" s="1" t="s">
        <v>28</v>
      </c>
    </row>
    <row r="261" spans="1:11" x14ac:dyDescent="0.25">
      <c r="B261" s="37"/>
      <c r="C261" s="4"/>
      <c r="E261" s="1"/>
      <c r="F261" s="12"/>
      <c r="G261" s="12"/>
      <c r="H261" s="11"/>
      <c r="I261" s="4"/>
      <c r="J261" s="1"/>
      <c r="K261" s="1"/>
    </row>
    <row r="262" spans="1:11" s="50" customFormat="1" x14ac:dyDescent="0.25">
      <c r="A262" s="44"/>
      <c r="B262" s="45"/>
      <c r="C262" s="46"/>
      <c r="D262" s="47"/>
      <c r="E262" s="48"/>
      <c r="F262" s="49"/>
      <c r="G262" s="49"/>
      <c r="H262" s="11"/>
      <c r="I262" s="4"/>
      <c r="J262" s="1"/>
      <c r="K262" s="48"/>
    </row>
    <row r="263" spans="1:11" s="88" customFormat="1" x14ac:dyDescent="0.25">
      <c r="A263" s="83" t="s">
        <v>69</v>
      </c>
      <c r="B263" s="89">
        <v>112</v>
      </c>
      <c r="C263" s="79" t="str">
        <f t="shared" ref="C263:C268" si="186">TEXT(DEC2BIN(B263), "00000000")</f>
        <v>01110000</v>
      </c>
      <c r="D263" s="80" t="str">
        <f>DEC2HEX(B263)</f>
        <v>70</v>
      </c>
      <c r="E263" s="90" t="s">
        <v>130</v>
      </c>
      <c r="F263" s="91"/>
      <c r="G263" s="91"/>
      <c r="H263" s="87">
        <v>0</v>
      </c>
      <c r="I263" s="79" t="str">
        <f t="shared" ref="I263:I276" si="187">TEXT(DEC2BIN(H263), "00000")</f>
        <v>00000</v>
      </c>
      <c r="J263" s="81" t="s">
        <v>14</v>
      </c>
      <c r="K263" s="90"/>
    </row>
    <row r="264" spans="1:11" s="50" customFormat="1" x14ac:dyDescent="0.25">
      <c r="A264" s="44"/>
      <c r="B264" s="3">
        <f t="shared" ref="B264:B267" si="188">(B263)</f>
        <v>112</v>
      </c>
      <c r="C264" s="4" t="str">
        <f t="shared" si="186"/>
        <v>01110000</v>
      </c>
      <c r="D264" s="2" t="str">
        <f t="shared" ref="D264:D268" si="189">DEC2HEX(B264)</f>
        <v>70</v>
      </c>
      <c r="E264" s="54"/>
      <c r="F264" s="55"/>
      <c r="G264" s="55"/>
      <c r="H264" s="11">
        <f t="shared" ref="H264:H267" si="190">H263+1</f>
        <v>1</v>
      </c>
      <c r="I264" s="4" t="str">
        <f t="shared" si="187"/>
        <v>00001</v>
      </c>
      <c r="J264" s="1" t="s">
        <v>13</v>
      </c>
      <c r="K264" s="54"/>
    </row>
    <row r="265" spans="1:11" x14ac:dyDescent="0.25">
      <c r="B265" s="3">
        <f t="shared" si="188"/>
        <v>112</v>
      </c>
      <c r="C265" s="4" t="str">
        <f t="shared" si="186"/>
        <v>01110000</v>
      </c>
      <c r="D265" s="2" t="str">
        <f t="shared" si="189"/>
        <v>70</v>
      </c>
      <c r="E265" s="1"/>
      <c r="F265" s="12"/>
      <c r="G265" s="12"/>
      <c r="H265" s="11">
        <f t="shared" si="190"/>
        <v>2</v>
      </c>
      <c r="I265" s="4" t="str">
        <f t="shared" ref="I265:I267" si="191">TEXT(DEC2BIN(H265), "00000")</f>
        <v>00010</v>
      </c>
      <c r="J265" s="11" t="s">
        <v>15</v>
      </c>
      <c r="K265" s="11"/>
    </row>
    <row r="266" spans="1:11" x14ac:dyDescent="0.25">
      <c r="B266" s="3">
        <f t="shared" si="188"/>
        <v>112</v>
      </c>
      <c r="C266" s="4" t="str">
        <f t="shared" si="186"/>
        <v>01110000</v>
      </c>
      <c r="D266" s="2" t="str">
        <f t="shared" si="189"/>
        <v>70</v>
      </c>
      <c r="E266" s="1"/>
      <c r="F266" s="12"/>
      <c r="G266" s="12"/>
      <c r="H266" s="11">
        <f t="shared" si="190"/>
        <v>3</v>
      </c>
      <c r="I266" s="4" t="str">
        <f t="shared" si="191"/>
        <v>00011</v>
      </c>
      <c r="J266" s="1" t="s">
        <v>51</v>
      </c>
      <c r="K266" s="11"/>
    </row>
    <row r="267" spans="1:11" x14ac:dyDescent="0.25">
      <c r="B267" s="3">
        <f t="shared" si="188"/>
        <v>112</v>
      </c>
      <c r="C267" s="4" t="str">
        <f t="shared" si="186"/>
        <v>01110000</v>
      </c>
      <c r="D267" s="2" t="str">
        <f t="shared" si="189"/>
        <v>70</v>
      </c>
      <c r="E267" s="1"/>
      <c r="F267" s="12"/>
      <c r="G267" s="12"/>
      <c r="H267" s="11">
        <f t="shared" si="190"/>
        <v>4</v>
      </c>
      <c r="I267" s="4" t="str">
        <f t="shared" si="191"/>
        <v>00100</v>
      </c>
      <c r="J267" s="1" t="s">
        <v>56</v>
      </c>
      <c r="K267" s="1"/>
    </row>
    <row r="268" spans="1:11" x14ac:dyDescent="0.25">
      <c r="B268" s="3">
        <f>(B264)</f>
        <v>112</v>
      </c>
      <c r="C268" s="4" t="str">
        <f t="shared" si="186"/>
        <v>01110000</v>
      </c>
      <c r="D268" s="2" t="str">
        <f t="shared" si="189"/>
        <v>70</v>
      </c>
      <c r="H268" s="11">
        <f>H264+1</f>
        <v>2</v>
      </c>
      <c r="I268" s="4" t="str">
        <f t="shared" si="187"/>
        <v>00010</v>
      </c>
      <c r="J268" s="1" t="s">
        <v>20</v>
      </c>
      <c r="K268" s="1" t="s">
        <v>28</v>
      </c>
    </row>
    <row r="269" spans="1:11" s="50" customFormat="1" x14ac:dyDescent="0.25">
      <c r="A269" s="44"/>
      <c r="B269" s="51"/>
      <c r="C269" s="52"/>
      <c r="D269" s="53"/>
      <c r="E269" s="54"/>
      <c r="F269" s="55"/>
      <c r="G269" s="55"/>
      <c r="H269" s="11"/>
      <c r="I269" s="4"/>
      <c r="J269" s="1"/>
      <c r="K269" s="54"/>
    </row>
    <row r="270" spans="1:11" s="50" customFormat="1" x14ac:dyDescent="0.25">
      <c r="A270" s="44" t="s">
        <v>70</v>
      </c>
      <c r="B270" s="45">
        <v>113</v>
      </c>
      <c r="C270" s="4" t="str">
        <f t="shared" ref="C270:C272" si="192">TEXT(DEC2BIN(B270), "00000000")</f>
        <v>01110001</v>
      </c>
      <c r="D270" s="2" t="str">
        <f>DEC2HEX(B270)</f>
        <v>71</v>
      </c>
      <c r="E270" s="48" t="s">
        <v>131</v>
      </c>
      <c r="F270" s="49"/>
      <c r="G270" s="49"/>
      <c r="H270" s="11">
        <v>0</v>
      </c>
      <c r="I270" s="4" t="str">
        <f t="shared" si="187"/>
        <v>00000</v>
      </c>
      <c r="J270" s="1" t="s">
        <v>14</v>
      </c>
      <c r="K270" s="48"/>
    </row>
    <row r="271" spans="1:11" s="50" customFormat="1" x14ac:dyDescent="0.25">
      <c r="A271" s="44"/>
      <c r="B271" s="3">
        <f t="shared" ref="B271:B272" si="193">(B270)</f>
        <v>113</v>
      </c>
      <c r="C271" s="4" t="str">
        <f t="shared" si="192"/>
        <v>01110001</v>
      </c>
      <c r="D271" s="2" t="str">
        <f t="shared" ref="D271:D272" si="194">DEC2HEX(B271)</f>
        <v>71</v>
      </c>
      <c r="E271" s="48"/>
      <c r="F271" s="49"/>
      <c r="G271" s="49"/>
      <c r="H271" s="11">
        <f t="shared" ref="H271:H272" si="195">H270+1</f>
        <v>1</v>
      </c>
      <c r="I271" s="4" t="str">
        <f t="shared" si="187"/>
        <v>00001</v>
      </c>
      <c r="J271" s="1" t="s">
        <v>13</v>
      </c>
      <c r="K271" s="48"/>
    </row>
    <row r="272" spans="1:11" x14ac:dyDescent="0.25">
      <c r="B272" s="3">
        <f t="shared" si="193"/>
        <v>113</v>
      </c>
      <c r="C272" s="4" t="str">
        <f t="shared" si="192"/>
        <v>01110001</v>
      </c>
      <c r="D272" s="2" t="str">
        <f t="shared" si="194"/>
        <v>71</v>
      </c>
      <c r="H272" s="11">
        <f t="shared" si="195"/>
        <v>2</v>
      </c>
      <c r="I272" s="4" t="str">
        <f t="shared" si="187"/>
        <v>00010</v>
      </c>
      <c r="J272" s="1" t="s">
        <v>20</v>
      </c>
      <c r="K272" s="1" t="s">
        <v>28</v>
      </c>
    </row>
    <row r="273" spans="1:11" s="50" customFormat="1" x14ac:dyDescent="0.25">
      <c r="A273" s="44"/>
      <c r="B273" s="45"/>
      <c r="C273" s="46"/>
      <c r="D273" s="47"/>
      <c r="E273" s="48"/>
      <c r="F273" s="49"/>
      <c r="G273" s="49"/>
      <c r="H273" s="11"/>
      <c r="I273" s="4"/>
      <c r="J273" s="1"/>
      <c r="K273" s="48"/>
    </row>
    <row r="274" spans="1:11" s="50" customFormat="1" x14ac:dyDescent="0.25">
      <c r="A274" s="44" t="s">
        <v>71</v>
      </c>
      <c r="B274" s="51">
        <v>114</v>
      </c>
      <c r="C274" s="4" t="str">
        <f t="shared" ref="C274:C276" si="196">TEXT(DEC2BIN(B274), "00000000")</f>
        <v>01110010</v>
      </c>
      <c r="D274" s="2" t="str">
        <f>DEC2HEX(B274)</f>
        <v>72</v>
      </c>
      <c r="E274" s="54"/>
      <c r="F274" s="55"/>
      <c r="G274" s="55"/>
      <c r="H274" s="11">
        <v>0</v>
      </c>
      <c r="I274" s="4" t="str">
        <f t="shared" si="187"/>
        <v>00000</v>
      </c>
      <c r="J274" s="1" t="s">
        <v>14</v>
      </c>
      <c r="K274" s="54"/>
    </row>
    <row r="275" spans="1:11" s="50" customFormat="1" x14ac:dyDescent="0.25">
      <c r="A275" s="44"/>
      <c r="B275" s="3">
        <f t="shared" ref="B275:B276" si="197">(B274)</f>
        <v>114</v>
      </c>
      <c r="C275" s="4" t="str">
        <f t="shared" si="196"/>
        <v>01110010</v>
      </c>
      <c r="D275" s="2" t="str">
        <f t="shared" ref="D275:D276" si="198">DEC2HEX(B275)</f>
        <v>72</v>
      </c>
      <c r="E275" s="54"/>
      <c r="F275" s="55"/>
      <c r="G275" s="55"/>
      <c r="H275" s="11">
        <f t="shared" ref="H275:H276" si="199">H274+1</f>
        <v>1</v>
      </c>
      <c r="I275" s="4" t="str">
        <f t="shared" si="187"/>
        <v>00001</v>
      </c>
      <c r="J275" s="1" t="s">
        <v>13</v>
      </c>
      <c r="K275" s="54"/>
    </row>
    <row r="276" spans="1:11" x14ac:dyDescent="0.25">
      <c r="B276" s="3">
        <f t="shared" si="197"/>
        <v>114</v>
      </c>
      <c r="C276" s="4" t="str">
        <f t="shared" si="196"/>
        <v>01110010</v>
      </c>
      <c r="D276" s="2" t="str">
        <f t="shared" si="198"/>
        <v>72</v>
      </c>
      <c r="H276" s="11">
        <f t="shared" si="199"/>
        <v>2</v>
      </c>
      <c r="I276" s="4" t="str">
        <f t="shared" si="187"/>
        <v>00010</v>
      </c>
      <c r="J276" s="1" t="s">
        <v>20</v>
      </c>
      <c r="K276" s="1" t="s">
        <v>28</v>
      </c>
    </row>
    <row r="277" spans="1:11" s="50" customFormat="1" x14ac:dyDescent="0.25">
      <c r="A277" s="44"/>
      <c r="B277" s="51"/>
      <c r="C277" s="52"/>
      <c r="D277" s="53"/>
      <c r="E277" s="54"/>
      <c r="F277" s="55"/>
      <c r="G277" s="55"/>
      <c r="H277" s="11"/>
      <c r="I277" s="4"/>
      <c r="J277" s="1"/>
      <c r="K277" s="54"/>
    </row>
    <row r="278" spans="1:11" s="50" customFormat="1" ht="15" customHeight="1" x14ac:dyDescent="0.25">
      <c r="A278" s="64" t="s">
        <v>119</v>
      </c>
      <c r="B278" s="69">
        <v>115</v>
      </c>
      <c r="C278" s="4" t="str">
        <f t="shared" ref="C278:C280" si="200">TEXT(DEC2BIN(B278), "00000000")</f>
        <v>01110011</v>
      </c>
      <c r="D278" s="2" t="str">
        <f>DEC2HEX(B278)</f>
        <v>73</v>
      </c>
      <c r="F278" s="71"/>
      <c r="G278" s="71"/>
      <c r="H278" s="11">
        <v>0</v>
      </c>
      <c r="I278" s="4" t="str">
        <f>TEXT(DEC2BIN(H278), "00000")</f>
        <v>00000</v>
      </c>
      <c r="J278" s="1" t="s">
        <v>14</v>
      </c>
    </row>
    <row r="279" spans="1:11" s="50" customFormat="1" ht="15" customHeight="1" x14ac:dyDescent="0.25">
      <c r="A279" s="64"/>
      <c r="B279" s="3">
        <f t="shared" ref="B279:B280" si="201">(B278)</f>
        <v>115</v>
      </c>
      <c r="C279" s="4" t="str">
        <f t="shared" si="200"/>
        <v>01110011</v>
      </c>
      <c r="D279" s="2" t="str">
        <f t="shared" ref="D279:D280" si="202">DEC2HEX(B279)</f>
        <v>73</v>
      </c>
      <c r="F279" s="71"/>
      <c r="G279" s="71"/>
      <c r="H279" s="11">
        <f t="shared" ref="H279:H280" si="203">H278+1</f>
        <v>1</v>
      </c>
      <c r="I279" s="4" t="str">
        <f>TEXT(DEC2BIN(H279), "00000")</f>
        <v>00001</v>
      </c>
      <c r="J279" s="1" t="s">
        <v>13</v>
      </c>
    </row>
    <row r="280" spans="1:11" x14ac:dyDescent="0.25">
      <c r="B280" s="3">
        <f t="shared" si="201"/>
        <v>115</v>
      </c>
      <c r="C280" s="4" t="str">
        <f t="shared" si="200"/>
        <v>01110011</v>
      </c>
      <c r="D280" s="2" t="str">
        <f t="shared" si="202"/>
        <v>73</v>
      </c>
      <c r="H280" s="11">
        <f t="shared" si="203"/>
        <v>2</v>
      </c>
      <c r="I280" s="4" t="str">
        <f>TEXT(DEC2BIN(H280), "00000")</f>
        <v>00010</v>
      </c>
      <c r="J280" s="1" t="s">
        <v>20</v>
      </c>
      <c r="K280" s="1" t="s">
        <v>28</v>
      </c>
    </row>
    <row r="281" spans="1:11" s="50" customFormat="1" ht="15" customHeight="1" x14ac:dyDescent="0.25">
      <c r="A281" s="64"/>
      <c r="B281" s="69"/>
      <c r="D281" s="72"/>
      <c r="F281" s="71"/>
      <c r="G281" s="71"/>
      <c r="H281" s="11"/>
      <c r="I281" s="4"/>
      <c r="J281" s="1"/>
    </row>
    <row r="282" spans="1:11" s="50" customFormat="1" ht="15" customHeight="1" x14ac:dyDescent="0.25">
      <c r="A282" s="64" t="s">
        <v>120</v>
      </c>
      <c r="B282" s="69">
        <v>116</v>
      </c>
      <c r="C282" s="4" t="str">
        <f t="shared" ref="C282:C284" si="204">TEXT(DEC2BIN(B282), "00000000")</f>
        <v>01110100</v>
      </c>
      <c r="D282" s="2" t="str">
        <f>DEC2HEX(B282)</f>
        <v>74</v>
      </c>
      <c r="F282" s="71"/>
      <c r="G282" s="71"/>
      <c r="H282" s="11">
        <v>0</v>
      </c>
      <c r="I282" s="4" t="str">
        <f>TEXT(DEC2BIN(H282), "00000")</f>
        <v>00000</v>
      </c>
      <c r="J282" s="1" t="s">
        <v>14</v>
      </c>
    </row>
    <row r="283" spans="1:11" s="50" customFormat="1" ht="15" customHeight="1" x14ac:dyDescent="0.25">
      <c r="A283" s="64"/>
      <c r="B283" s="3">
        <f t="shared" ref="B283:B284" si="205">(B282)</f>
        <v>116</v>
      </c>
      <c r="C283" s="4" t="str">
        <f t="shared" si="204"/>
        <v>01110100</v>
      </c>
      <c r="D283" s="2" t="str">
        <f t="shared" ref="D283:D284" si="206">DEC2HEX(B283)</f>
        <v>74</v>
      </c>
      <c r="F283" s="71"/>
      <c r="G283" s="71"/>
      <c r="H283" s="11">
        <f t="shared" ref="H283:H284" si="207">H282+1</f>
        <v>1</v>
      </c>
      <c r="I283" s="4" t="str">
        <f>TEXT(DEC2BIN(H283), "00000")</f>
        <v>00001</v>
      </c>
      <c r="J283" s="1" t="s">
        <v>13</v>
      </c>
    </row>
    <row r="284" spans="1:11" x14ac:dyDescent="0.25">
      <c r="B284" s="3">
        <f t="shared" si="205"/>
        <v>116</v>
      </c>
      <c r="C284" s="4" t="str">
        <f t="shared" si="204"/>
        <v>01110100</v>
      </c>
      <c r="D284" s="2" t="str">
        <f t="shared" si="206"/>
        <v>74</v>
      </c>
      <c r="H284" s="11">
        <f t="shared" si="207"/>
        <v>2</v>
      </c>
      <c r="I284" s="4" t="str">
        <f>TEXT(DEC2BIN(H284), "00000")</f>
        <v>00010</v>
      </c>
      <c r="J284" s="1" t="s">
        <v>20</v>
      </c>
      <c r="K284" s="1" t="s">
        <v>28</v>
      </c>
    </row>
    <row r="285" spans="1:11" s="50" customFormat="1" ht="15" customHeight="1" x14ac:dyDescent="0.25">
      <c r="A285" s="64"/>
      <c r="B285" s="69"/>
      <c r="D285" s="72"/>
      <c r="F285" s="71"/>
      <c r="G285" s="71"/>
      <c r="H285" s="11"/>
      <c r="I285" s="4"/>
      <c r="J285" s="1"/>
    </row>
    <row r="286" spans="1:11" s="50" customFormat="1" ht="15" customHeight="1" x14ac:dyDescent="0.25">
      <c r="A286" s="64" t="s">
        <v>121</v>
      </c>
      <c r="B286" s="69">
        <v>117</v>
      </c>
      <c r="C286" s="4" t="str">
        <f t="shared" ref="C286:C288" si="208">TEXT(DEC2BIN(B286), "00000000")</f>
        <v>01110101</v>
      </c>
      <c r="D286" s="2" t="str">
        <f>DEC2HEX(B286)</f>
        <v>75</v>
      </c>
      <c r="F286" s="71"/>
      <c r="G286" s="71"/>
      <c r="H286" s="11">
        <v>0</v>
      </c>
      <c r="I286" s="4" t="str">
        <f>TEXT(DEC2BIN(H286), "00000")</f>
        <v>00000</v>
      </c>
      <c r="J286" s="1" t="s">
        <v>14</v>
      </c>
    </row>
    <row r="287" spans="1:11" s="50" customFormat="1" ht="15" customHeight="1" x14ac:dyDescent="0.25">
      <c r="A287" s="64"/>
      <c r="B287" s="3">
        <f t="shared" ref="B287:B288" si="209">(B286)</f>
        <v>117</v>
      </c>
      <c r="C287" s="4" t="str">
        <f t="shared" si="208"/>
        <v>01110101</v>
      </c>
      <c r="D287" s="2" t="str">
        <f t="shared" ref="D287:D288" si="210">DEC2HEX(B287)</f>
        <v>75</v>
      </c>
      <c r="F287" s="71"/>
      <c r="G287" s="71"/>
      <c r="H287" s="11">
        <f t="shared" ref="H287:H288" si="211">H286+1</f>
        <v>1</v>
      </c>
      <c r="I287" s="4" t="str">
        <f>TEXT(DEC2BIN(H287), "00000")</f>
        <v>00001</v>
      </c>
      <c r="J287" s="1" t="s">
        <v>13</v>
      </c>
    </row>
    <row r="288" spans="1:11" x14ac:dyDescent="0.25">
      <c r="B288" s="3">
        <f t="shared" si="209"/>
        <v>117</v>
      </c>
      <c r="C288" s="4" t="str">
        <f t="shared" si="208"/>
        <v>01110101</v>
      </c>
      <c r="D288" s="2" t="str">
        <f t="shared" si="210"/>
        <v>75</v>
      </c>
      <c r="H288" s="11">
        <f t="shared" si="211"/>
        <v>2</v>
      </c>
      <c r="I288" s="4" t="str">
        <f>TEXT(DEC2BIN(H288), "00000")</f>
        <v>00010</v>
      </c>
      <c r="J288" s="1" t="s">
        <v>20</v>
      </c>
      <c r="K288" s="1" t="s">
        <v>28</v>
      </c>
    </row>
    <row r="289" spans="1:11" s="50" customFormat="1" ht="15" customHeight="1" x14ac:dyDescent="0.25">
      <c r="A289" s="64"/>
      <c r="B289" s="69"/>
      <c r="D289" s="72"/>
      <c r="F289" s="71"/>
      <c r="G289" s="71"/>
      <c r="H289" s="11"/>
      <c r="I289" s="4"/>
      <c r="J289" s="1"/>
    </row>
    <row r="290" spans="1:11" s="50" customFormat="1" ht="15" customHeight="1" x14ac:dyDescent="0.25">
      <c r="A290" s="64" t="s">
        <v>122</v>
      </c>
      <c r="B290" s="69">
        <v>118</v>
      </c>
      <c r="C290" s="4" t="str">
        <f t="shared" ref="C290:C292" si="212">TEXT(DEC2BIN(B290), "00000000")</f>
        <v>01110110</v>
      </c>
      <c r="D290" s="2" t="str">
        <f>DEC2HEX(B290)</f>
        <v>76</v>
      </c>
      <c r="F290" s="71"/>
      <c r="G290" s="71"/>
      <c r="H290" s="11">
        <v>0</v>
      </c>
      <c r="I290" s="4" t="str">
        <f>TEXT(DEC2BIN(H290), "00000")</f>
        <v>00000</v>
      </c>
      <c r="J290" s="1" t="s">
        <v>14</v>
      </c>
    </row>
    <row r="291" spans="1:11" s="50" customFormat="1" ht="15" customHeight="1" x14ac:dyDescent="0.25">
      <c r="A291" s="64"/>
      <c r="B291" s="3">
        <f t="shared" ref="B291:B292" si="213">(B290)</f>
        <v>118</v>
      </c>
      <c r="C291" s="4" t="str">
        <f t="shared" si="212"/>
        <v>01110110</v>
      </c>
      <c r="D291" s="2" t="str">
        <f t="shared" ref="D291:D292" si="214">DEC2HEX(B291)</f>
        <v>76</v>
      </c>
      <c r="F291" s="71"/>
      <c r="G291" s="71"/>
      <c r="H291" s="11">
        <f t="shared" ref="H291:H292" si="215">H290+1</f>
        <v>1</v>
      </c>
      <c r="I291" s="4" t="str">
        <f>TEXT(DEC2BIN(H291), "00000")</f>
        <v>00001</v>
      </c>
      <c r="J291" s="1" t="s">
        <v>13</v>
      </c>
    </row>
    <row r="292" spans="1:11" x14ac:dyDescent="0.25">
      <c r="B292" s="3">
        <f t="shared" si="213"/>
        <v>118</v>
      </c>
      <c r="C292" s="4" t="str">
        <f t="shared" si="212"/>
        <v>01110110</v>
      </c>
      <c r="D292" s="2" t="str">
        <f t="shared" si="214"/>
        <v>76</v>
      </c>
      <c r="H292" s="11">
        <f t="shared" si="215"/>
        <v>2</v>
      </c>
      <c r="I292" s="4" t="str">
        <f>TEXT(DEC2BIN(H292), "00000")</f>
        <v>00010</v>
      </c>
      <c r="J292" s="1" t="s">
        <v>20</v>
      </c>
      <c r="K292" s="1" t="s">
        <v>28</v>
      </c>
    </row>
    <row r="293" spans="1:11" s="50" customFormat="1" ht="15" customHeight="1" x14ac:dyDescent="0.25">
      <c r="A293" s="64"/>
      <c r="B293" s="69"/>
      <c r="D293" s="72"/>
      <c r="F293" s="71"/>
      <c r="G293" s="71"/>
      <c r="H293" s="11"/>
      <c r="I293" s="4"/>
      <c r="J293" s="1"/>
    </row>
    <row r="294" spans="1:11" s="50" customFormat="1" ht="15" customHeight="1" x14ac:dyDescent="0.25">
      <c r="A294" s="64" t="s">
        <v>123</v>
      </c>
      <c r="B294" s="69">
        <v>119</v>
      </c>
      <c r="C294" s="4" t="str">
        <f t="shared" ref="C294:C296" si="216">TEXT(DEC2BIN(B294), "00000000")</f>
        <v>01110111</v>
      </c>
      <c r="D294" s="2" t="str">
        <f>DEC2HEX(B294)</f>
        <v>77</v>
      </c>
      <c r="F294" s="71"/>
      <c r="G294" s="71"/>
      <c r="H294" s="11">
        <v>0</v>
      </c>
      <c r="I294" s="4" t="str">
        <f>TEXT(DEC2BIN(H294), "00000")</f>
        <v>00000</v>
      </c>
      <c r="J294" s="1" t="s">
        <v>14</v>
      </c>
    </row>
    <row r="295" spans="1:11" s="50" customFormat="1" x14ac:dyDescent="0.25">
      <c r="B295" s="3">
        <f t="shared" ref="B295:B296" si="217">(B294)</f>
        <v>119</v>
      </c>
      <c r="C295" s="4" t="str">
        <f t="shared" si="216"/>
        <v>01110111</v>
      </c>
      <c r="D295" s="2" t="str">
        <f t="shared" ref="D295:D296" si="218">DEC2HEX(B295)</f>
        <v>77</v>
      </c>
      <c r="F295" s="71"/>
      <c r="G295" s="71"/>
      <c r="H295" s="11">
        <f t="shared" ref="H295:H296" si="219">H294+1</f>
        <v>1</v>
      </c>
      <c r="I295" s="4" t="str">
        <f>TEXT(DEC2BIN(H295), "00000")</f>
        <v>00001</v>
      </c>
      <c r="J295" s="1" t="s">
        <v>13</v>
      </c>
    </row>
    <row r="296" spans="1:11" x14ac:dyDescent="0.25">
      <c r="B296" s="3">
        <f t="shared" si="217"/>
        <v>119</v>
      </c>
      <c r="C296" s="4" t="str">
        <f t="shared" si="216"/>
        <v>01110111</v>
      </c>
      <c r="D296" s="2" t="str">
        <f t="shared" si="218"/>
        <v>77</v>
      </c>
      <c r="H296" s="11">
        <f t="shared" si="219"/>
        <v>2</v>
      </c>
      <c r="I296" s="4" t="str">
        <f t="shared" ref="I296" si="220">TEXT(DEC2BIN(H296), "00000")</f>
        <v>00010</v>
      </c>
      <c r="J296" s="1" t="s">
        <v>20</v>
      </c>
      <c r="K296" s="1" t="s">
        <v>28</v>
      </c>
    </row>
    <row r="297" spans="1:11" s="50" customFormat="1" ht="15" customHeight="1" x14ac:dyDescent="0.25">
      <c r="A297" s="44"/>
      <c r="B297" s="45"/>
      <c r="C297" s="46"/>
      <c r="D297" s="47"/>
      <c r="E297" s="48"/>
      <c r="F297" s="49"/>
      <c r="G297" s="49"/>
      <c r="H297" s="11"/>
      <c r="I297" s="4"/>
      <c r="J297" s="1"/>
      <c r="K297" s="48"/>
    </row>
    <row r="298" spans="1:11" s="50" customFormat="1" ht="15" customHeight="1" x14ac:dyDescent="0.25">
      <c r="A298" s="44"/>
      <c r="B298" s="51"/>
      <c r="C298" s="52"/>
      <c r="D298" s="53"/>
      <c r="E298" s="54"/>
      <c r="F298" s="55"/>
      <c r="G298" s="55"/>
      <c r="H298" s="11"/>
      <c r="I298" s="4"/>
      <c r="J298" s="1"/>
      <c r="K298" s="54"/>
    </row>
    <row r="299" spans="1:11" s="50" customFormat="1" ht="15" customHeight="1" x14ac:dyDescent="0.25">
      <c r="A299" s="64"/>
      <c r="B299" s="69"/>
      <c r="D299" s="72"/>
      <c r="E299" s="73"/>
      <c r="F299" s="74"/>
      <c r="G299" s="74"/>
      <c r="H299" s="11"/>
      <c r="I299" s="4"/>
      <c r="J299" s="1"/>
      <c r="K299" s="73"/>
    </row>
    <row r="300" spans="1:11" s="50" customFormat="1" x14ac:dyDescent="0.25">
      <c r="B300" s="69"/>
      <c r="C300" s="75"/>
      <c r="D300" s="72"/>
      <c r="F300" s="71"/>
      <c r="G300" s="71"/>
    </row>
    <row r="301" spans="1:11" s="50" customFormat="1" x14ac:dyDescent="0.25">
      <c r="B301" s="69"/>
      <c r="C301" s="75"/>
      <c r="D301" s="72"/>
      <c r="F301" s="71"/>
      <c r="G301" s="71"/>
    </row>
    <row r="302" spans="1:11" s="50" customFormat="1" x14ac:dyDescent="0.25">
      <c r="B302" s="69"/>
      <c r="C302" s="76"/>
      <c r="D302" s="72"/>
      <c r="F302" s="71"/>
      <c r="G302" s="71"/>
    </row>
    <row r="303" spans="1:11" s="50" customFormat="1" x14ac:dyDescent="0.25">
      <c r="B303" s="69"/>
      <c r="C303" s="76"/>
      <c r="D303" s="72"/>
      <c r="F303" s="71"/>
      <c r="G303" s="71"/>
    </row>
    <row r="304" spans="1:11" s="50" customFormat="1" x14ac:dyDescent="0.25">
      <c r="B304" s="69"/>
      <c r="C304" s="76"/>
      <c r="D304" s="72"/>
      <c r="F304" s="71"/>
      <c r="G304" s="71"/>
    </row>
    <row r="305" spans="2:7" s="50" customFormat="1" x14ac:dyDescent="0.25">
      <c r="B305" s="69"/>
      <c r="C305" s="76"/>
      <c r="D305" s="72"/>
      <c r="F305" s="71"/>
      <c r="G305" s="71"/>
    </row>
    <row r="306" spans="2:7" s="50" customFormat="1" x14ac:dyDescent="0.25">
      <c r="B306" s="69"/>
      <c r="C306" s="75"/>
      <c r="D306" s="72"/>
      <c r="F306" s="71"/>
      <c r="G306" s="71"/>
    </row>
    <row r="307" spans="2:7" s="50" customFormat="1" x14ac:dyDescent="0.25">
      <c r="B307" s="69"/>
      <c r="C307" s="75"/>
      <c r="D307" s="72"/>
      <c r="F307" s="71"/>
      <c r="G307" s="71"/>
    </row>
    <row r="308" spans="2:7" s="50" customFormat="1" x14ac:dyDescent="0.25">
      <c r="B308" s="69"/>
      <c r="C308" s="75"/>
      <c r="D308" s="72"/>
      <c r="F308" s="71"/>
      <c r="G308" s="71"/>
    </row>
    <row r="309" spans="2:7" s="50" customFormat="1" x14ac:dyDescent="0.25">
      <c r="B309" s="69"/>
      <c r="C309" s="75"/>
      <c r="D309" s="72"/>
      <c r="F309" s="71"/>
      <c r="G309" s="71"/>
    </row>
    <row r="310" spans="2:7" s="50" customFormat="1" x14ac:dyDescent="0.25">
      <c r="B310" s="69"/>
      <c r="C310" s="75"/>
      <c r="D310" s="72"/>
      <c r="F310" s="71"/>
      <c r="G310" s="71"/>
    </row>
    <row r="311" spans="2:7" s="50" customFormat="1" x14ac:dyDescent="0.25">
      <c r="B311" s="69"/>
      <c r="C311" s="75"/>
      <c r="D311" s="72"/>
      <c r="F311" s="71"/>
      <c r="G311" s="71"/>
    </row>
    <row r="312" spans="2:7" s="50" customFormat="1" x14ac:dyDescent="0.25">
      <c r="B312" s="69"/>
      <c r="C312" s="75"/>
      <c r="D312" s="72"/>
      <c r="F312" s="71"/>
      <c r="G312" s="71"/>
    </row>
    <row r="313" spans="2:7" s="50" customFormat="1" x14ac:dyDescent="0.25">
      <c r="B313" s="69"/>
      <c r="C313" s="75"/>
      <c r="D313" s="72"/>
      <c r="F313" s="71"/>
      <c r="G313" s="71"/>
    </row>
    <row r="314" spans="2:7" s="50" customFormat="1" x14ac:dyDescent="0.25">
      <c r="B314" s="69"/>
      <c r="C314" s="75"/>
      <c r="D314" s="72"/>
      <c r="F314" s="71"/>
      <c r="G314" s="71"/>
    </row>
    <row r="315" spans="2:7" s="50" customFormat="1" x14ac:dyDescent="0.25">
      <c r="B315" s="69"/>
      <c r="C315" s="75"/>
      <c r="D315" s="72"/>
      <c r="F315" s="71"/>
      <c r="G315" s="71"/>
    </row>
    <row r="316" spans="2:7" s="50" customFormat="1" x14ac:dyDescent="0.25">
      <c r="B316" s="69"/>
      <c r="C316" s="75"/>
      <c r="D316" s="72"/>
      <c r="F316" s="71"/>
      <c r="G316" s="71"/>
    </row>
    <row r="317" spans="2:7" s="50" customFormat="1" x14ac:dyDescent="0.25">
      <c r="B317" s="69"/>
      <c r="C317" s="75"/>
      <c r="D317" s="72"/>
      <c r="F317" s="71"/>
      <c r="G317" s="71"/>
    </row>
    <row r="318" spans="2:7" s="50" customFormat="1" x14ac:dyDescent="0.25">
      <c r="B318" s="69"/>
      <c r="C318" s="76"/>
      <c r="D318" s="72"/>
      <c r="F318" s="71"/>
      <c r="G318" s="71"/>
    </row>
    <row r="319" spans="2:7" s="50" customFormat="1" x14ac:dyDescent="0.25">
      <c r="B319" s="69"/>
      <c r="C319" s="76"/>
      <c r="D319" s="72"/>
      <c r="F319" s="71"/>
      <c r="G319" s="71"/>
    </row>
    <row r="320" spans="2:7" s="50" customFormat="1" x14ac:dyDescent="0.25">
      <c r="B320" s="69"/>
      <c r="C320" s="76"/>
      <c r="D320" s="72"/>
      <c r="F320" s="71"/>
      <c r="G320" s="71"/>
    </row>
    <row r="321" spans="2:7" s="50" customFormat="1" x14ac:dyDescent="0.25">
      <c r="B321" s="69"/>
      <c r="C321" s="76"/>
      <c r="D321" s="72"/>
      <c r="F321" s="71"/>
      <c r="G321" s="71"/>
    </row>
    <row r="322" spans="2:7" s="50" customFormat="1" x14ac:dyDescent="0.25">
      <c r="B322" s="69"/>
      <c r="C322" s="76"/>
      <c r="D322" s="72"/>
      <c r="F322" s="71"/>
      <c r="G322" s="71"/>
    </row>
    <row r="323" spans="2:7" s="50" customFormat="1" x14ac:dyDescent="0.25">
      <c r="B323" s="69"/>
      <c r="C323" s="76"/>
      <c r="D323" s="72"/>
      <c r="F323" s="71"/>
      <c r="G323" s="71"/>
    </row>
    <row r="324" spans="2:7" s="50" customFormat="1" x14ac:dyDescent="0.25">
      <c r="B324" s="69"/>
      <c r="C324" s="76"/>
      <c r="D324" s="72"/>
      <c r="F324" s="71"/>
      <c r="G324" s="71"/>
    </row>
    <row r="325" spans="2:7" s="50" customFormat="1" x14ac:dyDescent="0.25">
      <c r="B325" s="69"/>
      <c r="C325" s="76"/>
      <c r="D325" s="72"/>
      <c r="F325" s="71"/>
      <c r="G325" s="71"/>
    </row>
    <row r="326" spans="2:7" s="50" customFormat="1" x14ac:dyDescent="0.25">
      <c r="B326" s="69"/>
      <c r="C326" s="76"/>
      <c r="D326" s="72"/>
      <c r="F326" s="71"/>
      <c r="G326" s="71"/>
    </row>
    <row r="327" spans="2:7" s="50" customFormat="1" x14ac:dyDescent="0.25">
      <c r="B327" s="69"/>
      <c r="C327" s="76"/>
      <c r="D327" s="72"/>
      <c r="F327" s="71"/>
      <c r="G327" s="71"/>
    </row>
    <row r="328" spans="2:7" s="50" customFormat="1" x14ac:dyDescent="0.25">
      <c r="B328" s="69"/>
      <c r="C328" s="76"/>
      <c r="D328" s="72"/>
      <c r="F328" s="71"/>
      <c r="G328" s="71"/>
    </row>
    <row r="329" spans="2:7" s="50" customFormat="1" x14ac:dyDescent="0.25">
      <c r="B329" s="69"/>
      <c r="C329" s="76"/>
      <c r="D329" s="72"/>
      <c r="F329" s="71"/>
      <c r="G329" s="71"/>
    </row>
    <row r="330" spans="2:7" s="50" customFormat="1" x14ac:dyDescent="0.25">
      <c r="B330" s="69"/>
      <c r="C330" s="76"/>
      <c r="D330" s="72"/>
      <c r="F330" s="71"/>
      <c r="G330" s="71"/>
    </row>
    <row r="331" spans="2:7" s="50" customFormat="1" x14ac:dyDescent="0.25">
      <c r="B331" s="69"/>
      <c r="C331" s="76"/>
      <c r="D331" s="72"/>
      <c r="F331" s="71"/>
      <c r="G331" s="71"/>
    </row>
    <row r="332" spans="2:7" s="50" customFormat="1" x14ac:dyDescent="0.25">
      <c r="B332" s="69"/>
      <c r="C332" s="76"/>
      <c r="D332" s="72"/>
      <c r="F332" s="71"/>
      <c r="G332" s="71"/>
    </row>
    <row r="333" spans="2:7" s="50" customFormat="1" x14ac:dyDescent="0.25">
      <c r="B333" s="69"/>
      <c r="C333" s="76"/>
      <c r="D333" s="72"/>
      <c r="F333" s="71"/>
      <c r="G333" s="71"/>
    </row>
    <row r="334" spans="2:7" s="50" customFormat="1" x14ac:dyDescent="0.25">
      <c r="B334" s="69"/>
      <c r="C334" s="76"/>
      <c r="D334" s="72"/>
      <c r="F334" s="71"/>
      <c r="G334" s="71"/>
    </row>
    <row r="335" spans="2:7" s="50" customFormat="1" x14ac:dyDescent="0.25">
      <c r="B335" s="69"/>
      <c r="C335" s="76"/>
      <c r="D335" s="72"/>
      <c r="F335" s="71"/>
      <c r="G335" s="71"/>
    </row>
    <row r="336" spans="2:7" s="50" customFormat="1" x14ac:dyDescent="0.25">
      <c r="B336" s="69"/>
      <c r="C336" s="76"/>
      <c r="D336" s="72"/>
      <c r="F336" s="71"/>
      <c r="G336" s="71"/>
    </row>
    <row r="337" spans="2:7" s="50" customFormat="1" x14ac:dyDescent="0.25">
      <c r="B337" s="69"/>
      <c r="C337" s="76"/>
      <c r="D337" s="72"/>
      <c r="F337" s="71"/>
      <c r="G337" s="71"/>
    </row>
    <row r="338" spans="2:7" s="50" customFormat="1" x14ac:dyDescent="0.25">
      <c r="B338" s="69"/>
      <c r="C338" s="76"/>
      <c r="D338" s="72"/>
      <c r="F338" s="71"/>
      <c r="G338" s="71"/>
    </row>
    <row r="339" spans="2:7" s="50" customFormat="1" x14ac:dyDescent="0.25">
      <c r="B339" s="69"/>
      <c r="C339" s="76"/>
      <c r="D339" s="72"/>
      <c r="F339" s="71"/>
      <c r="G339" s="71"/>
    </row>
    <row r="340" spans="2:7" s="50" customFormat="1" x14ac:dyDescent="0.25">
      <c r="B340" s="69"/>
      <c r="C340" s="76"/>
      <c r="D340" s="72"/>
      <c r="F340" s="71"/>
      <c r="G340" s="71"/>
    </row>
    <row r="341" spans="2:7" s="50" customFormat="1" x14ac:dyDescent="0.25">
      <c r="B341" s="69"/>
      <c r="C341" s="76"/>
      <c r="D341" s="72"/>
      <c r="F341" s="71"/>
      <c r="G341" s="71"/>
    </row>
    <row r="342" spans="2:7" s="50" customFormat="1" x14ac:dyDescent="0.25">
      <c r="B342" s="69"/>
      <c r="C342" s="76"/>
      <c r="D342" s="72"/>
      <c r="F342" s="71"/>
      <c r="G342" s="71"/>
    </row>
    <row r="343" spans="2:7" s="50" customFormat="1" x14ac:dyDescent="0.25">
      <c r="B343" s="69"/>
      <c r="C343" s="76"/>
      <c r="D343" s="72"/>
      <c r="F343" s="71"/>
      <c r="G343" s="71"/>
    </row>
    <row r="344" spans="2:7" s="50" customFormat="1" x14ac:dyDescent="0.25">
      <c r="B344" s="69"/>
      <c r="C344" s="76"/>
      <c r="D344" s="72"/>
      <c r="F344" s="71"/>
      <c r="G344" s="71"/>
    </row>
    <row r="345" spans="2:7" s="50" customFormat="1" x14ac:dyDescent="0.25">
      <c r="B345" s="69"/>
      <c r="C345" s="76"/>
      <c r="D345" s="72"/>
      <c r="F345" s="71"/>
      <c r="G345" s="71"/>
    </row>
    <row r="346" spans="2:7" s="50" customFormat="1" x14ac:dyDescent="0.25">
      <c r="B346" s="69"/>
      <c r="C346" s="76"/>
      <c r="D346" s="72"/>
      <c r="F346" s="71"/>
      <c r="G346" s="71"/>
    </row>
    <row r="347" spans="2:7" s="50" customFormat="1" x14ac:dyDescent="0.25">
      <c r="B347" s="69"/>
      <c r="C347" s="76"/>
      <c r="D347" s="72"/>
      <c r="F347" s="71"/>
      <c r="G347" s="71"/>
    </row>
    <row r="348" spans="2:7" s="50" customFormat="1" x14ac:dyDescent="0.25">
      <c r="B348" s="69"/>
      <c r="C348" s="76"/>
      <c r="D348" s="72"/>
      <c r="F348" s="71"/>
      <c r="G348" s="71"/>
    </row>
    <row r="349" spans="2:7" s="50" customFormat="1" x14ac:dyDescent="0.25">
      <c r="B349" s="69"/>
      <c r="C349" s="76"/>
      <c r="D349" s="72"/>
      <c r="F349" s="71"/>
      <c r="G349" s="71"/>
    </row>
    <row r="350" spans="2:7" s="50" customFormat="1" x14ac:dyDescent="0.25">
      <c r="B350" s="69"/>
      <c r="C350" s="76"/>
      <c r="D350" s="72"/>
      <c r="F350" s="71"/>
      <c r="G350" s="71"/>
    </row>
    <row r="351" spans="2:7" s="50" customFormat="1" x14ac:dyDescent="0.25">
      <c r="B351" s="69"/>
      <c r="C351" s="76"/>
      <c r="D351" s="72"/>
      <c r="F351" s="71"/>
      <c r="G351" s="71"/>
    </row>
    <row r="352" spans="2:7" s="50" customFormat="1" x14ac:dyDescent="0.25">
      <c r="B352" s="69"/>
      <c r="C352" s="76"/>
      <c r="D352" s="72"/>
      <c r="F352" s="71"/>
      <c r="G352" s="71"/>
    </row>
    <row r="353" spans="2:7" s="50" customFormat="1" x14ac:dyDescent="0.25">
      <c r="B353" s="69"/>
      <c r="C353" s="76"/>
      <c r="D353" s="72"/>
      <c r="F353" s="71"/>
      <c r="G353" s="71"/>
    </row>
    <row r="354" spans="2:7" s="50" customFormat="1" x14ac:dyDescent="0.25">
      <c r="B354" s="69"/>
      <c r="C354" s="76"/>
      <c r="D354" s="72"/>
      <c r="F354" s="71"/>
      <c r="G354" s="71"/>
    </row>
    <row r="355" spans="2:7" s="50" customFormat="1" x14ac:dyDescent="0.25">
      <c r="B355" s="69"/>
      <c r="C355" s="76"/>
      <c r="D355" s="72"/>
      <c r="F355" s="71"/>
      <c r="G355" s="71"/>
    </row>
    <row r="356" spans="2:7" s="50" customFormat="1" x14ac:dyDescent="0.25">
      <c r="B356" s="69"/>
      <c r="C356" s="76"/>
      <c r="D356" s="72"/>
      <c r="F356" s="71"/>
      <c r="G356" s="71"/>
    </row>
    <row r="357" spans="2:7" s="50" customFormat="1" x14ac:dyDescent="0.25">
      <c r="B357" s="69"/>
      <c r="C357" s="76"/>
      <c r="D357" s="72"/>
      <c r="F357" s="71"/>
      <c r="G357" s="71"/>
    </row>
    <row r="358" spans="2:7" s="50" customFormat="1" x14ac:dyDescent="0.25">
      <c r="B358" s="69"/>
      <c r="C358" s="76"/>
      <c r="D358" s="72"/>
      <c r="F358" s="71"/>
      <c r="G358" s="71"/>
    </row>
    <row r="359" spans="2:7" s="50" customFormat="1" x14ac:dyDescent="0.25">
      <c r="B359" s="69"/>
      <c r="C359" s="76"/>
      <c r="D359" s="72"/>
      <c r="F359" s="71"/>
      <c r="G359" s="71"/>
    </row>
    <row r="360" spans="2:7" s="50" customFormat="1" x14ac:dyDescent="0.25">
      <c r="B360" s="69"/>
      <c r="C360" s="76"/>
      <c r="D360" s="72"/>
      <c r="F360" s="71"/>
      <c r="G360" s="71"/>
    </row>
    <row r="361" spans="2:7" s="50" customFormat="1" x14ac:dyDescent="0.25">
      <c r="B361" s="69"/>
      <c r="C361" s="76"/>
      <c r="D361" s="72"/>
      <c r="F361" s="71"/>
      <c r="G361" s="71"/>
    </row>
    <row r="362" spans="2:7" s="50" customFormat="1" x14ac:dyDescent="0.25">
      <c r="B362" s="69"/>
      <c r="C362" s="76"/>
      <c r="D362" s="72"/>
      <c r="F362" s="71"/>
      <c r="G362" s="71"/>
    </row>
    <row r="363" spans="2:7" s="50" customFormat="1" x14ac:dyDescent="0.25">
      <c r="B363" s="69"/>
      <c r="C363" s="76"/>
      <c r="D363" s="72"/>
      <c r="F363" s="71"/>
      <c r="G363" s="71"/>
    </row>
    <row r="364" spans="2:7" s="50" customFormat="1" x14ac:dyDescent="0.25">
      <c r="B364" s="69"/>
      <c r="C364" s="76"/>
      <c r="D364" s="72"/>
      <c r="F364" s="71"/>
      <c r="G364" s="71"/>
    </row>
    <row r="365" spans="2:7" s="50" customFormat="1" x14ac:dyDescent="0.25">
      <c r="B365" s="69"/>
      <c r="C365" s="76"/>
      <c r="D365" s="72"/>
      <c r="F365" s="71"/>
      <c r="G365" s="71"/>
    </row>
    <row r="366" spans="2:7" s="50" customFormat="1" x14ac:dyDescent="0.25">
      <c r="B366" s="69"/>
      <c r="C366" s="76"/>
      <c r="D366" s="72"/>
      <c r="F366" s="71"/>
      <c r="G366" s="71"/>
    </row>
    <row r="367" spans="2:7" s="50" customFormat="1" x14ac:dyDescent="0.25">
      <c r="B367" s="69"/>
      <c r="C367" s="76"/>
      <c r="D367" s="72"/>
      <c r="F367" s="71"/>
      <c r="G367" s="71"/>
    </row>
    <row r="368" spans="2:7" s="50" customFormat="1" x14ac:dyDescent="0.25">
      <c r="B368" s="69"/>
      <c r="C368" s="76"/>
      <c r="D368" s="72"/>
      <c r="F368" s="71"/>
      <c r="G368" s="71"/>
    </row>
    <row r="369" spans="2:7" s="50" customFormat="1" x14ac:dyDescent="0.25">
      <c r="B369" s="69"/>
      <c r="C369" s="76"/>
      <c r="D369" s="72"/>
      <c r="F369" s="71"/>
      <c r="G369" s="71"/>
    </row>
    <row r="370" spans="2:7" s="50" customFormat="1" x14ac:dyDescent="0.25">
      <c r="B370" s="69"/>
      <c r="C370" s="76"/>
      <c r="D370" s="72"/>
      <c r="F370" s="71"/>
      <c r="G370" s="71"/>
    </row>
    <row r="371" spans="2:7" s="50" customFormat="1" x14ac:dyDescent="0.25">
      <c r="B371" s="69"/>
      <c r="C371" s="76"/>
      <c r="D371" s="72"/>
      <c r="F371" s="71"/>
      <c r="G371" s="71"/>
    </row>
    <row r="372" spans="2:7" s="50" customFormat="1" x14ac:dyDescent="0.25">
      <c r="B372" s="69"/>
      <c r="C372" s="76"/>
      <c r="D372" s="72"/>
      <c r="F372" s="71"/>
      <c r="G372" s="71"/>
    </row>
    <row r="373" spans="2:7" s="50" customFormat="1" x14ac:dyDescent="0.25">
      <c r="B373" s="69"/>
      <c r="C373" s="76"/>
      <c r="D373" s="72"/>
      <c r="F373" s="71"/>
      <c r="G373" s="71"/>
    </row>
    <row r="374" spans="2:7" s="50" customFormat="1" x14ac:dyDescent="0.25">
      <c r="B374" s="69"/>
      <c r="C374" s="76"/>
      <c r="D374" s="72"/>
      <c r="F374" s="71"/>
      <c r="G374" s="71"/>
    </row>
    <row r="375" spans="2:7" s="50" customFormat="1" x14ac:dyDescent="0.25">
      <c r="B375" s="69"/>
      <c r="C375" s="76"/>
      <c r="D375" s="72"/>
      <c r="F375" s="71"/>
      <c r="G375" s="71"/>
    </row>
    <row r="376" spans="2:7" s="50" customFormat="1" x14ac:dyDescent="0.25">
      <c r="B376" s="69"/>
      <c r="C376" s="76"/>
      <c r="D376" s="72"/>
      <c r="F376" s="71"/>
      <c r="G376" s="71"/>
    </row>
    <row r="377" spans="2:7" s="50" customFormat="1" x14ac:dyDescent="0.25">
      <c r="B377" s="69"/>
      <c r="C377" s="76"/>
      <c r="D377" s="72"/>
      <c r="F377" s="71"/>
      <c r="G377" s="71"/>
    </row>
    <row r="378" spans="2:7" s="50" customFormat="1" x14ac:dyDescent="0.25">
      <c r="B378" s="69"/>
      <c r="C378" s="76"/>
      <c r="D378" s="72"/>
      <c r="F378" s="71"/>
      <c r="G378" s="71"/>
    </row>
    <row r="379" spans="2:7" s="50" customFormat="1" x14ac:dyDescent="0.25">
      <c r="B379" s="69"/>
      <c r="C379" s="76"/>
      <c r="D379" s="72"/>
      <c r="F379" s="71"/>
      <c r="G379" s="71"/>
    </row>
    <row r="380" spans="2:7" s="50" customFormat="1" x14ac:dyDescent="0.25">
      <c r="B380" s="69"/>
      <c r="C380" s="76"/>
      <c r="D380" s="72"/>
      <c r="F380" s="71"/>
      <c r="G380" s="71"/>
    </row>
    <row r="381" spans="2:7" s="50" customFormat="1" x14ac:dyDescent="0.25">
      <c r="B381" s="69"/>
      <c r="C381" s="76"/>
      <c r="D381" s="72"/>
      <c r="F381" s="71"/>
      <c r="G381" s="71"/>
    </row>
    <row r="382" spans="2:7" s="50" customFormat="1" x14ac:dyDescent="0.25">
      <c r="B382" s="69"/>
      <c r="C382" s="76"/>
      <c r="D382" s="72"/>
      <c r="F382" s="71"/>
      <c r="G382" s="71"/>
    </row>
    <row r="383" spans="2:7" s="50" customFormat="1" x14ac:dyDescent="0.25">
      <c r="B383" s="69"/>
      <c r="C383" s="76"/>
      <c r="D383" s="72"/>
      <c r="F383" s="71"/>
      <c r="G383" s="71"/>
    </row>
    <row r="384" spans="2:7" s="50" customFormat="1" x14ac:dyDescent="0.25">
      <c r="B384" s="69"/>
      <c r="C384" s="76"/>
      <c r="D384" s="72"/>
      <c r="F384" s="71"/>
      <c r="G384" s="71"/>
    </row>
    <row r="385" spans="2:7" s="50" customFormat="1" x14ac:dyDescent="0.25">
      <c r="B385" s="69"/>
      <c r="C385" s="76"/>
      <c r="D385" s="72"/>
      <c r="F385" s="71"/>
      <c r="G385" s="71"/>
    </row>
    <row r="386" spans="2:7" s="50" customFormat="1" x14ac:dyDescent="0.25">
      <c r="B386" s="69"/>
      <c r="C386" s="76"/>
      <c r="D386" s="72"/>
      <c r="F386" s="71"/>
      <c r="G386" s="71"/>
    </row>
    <row r="387" spans="2:7" s="50" customFormat="1" x14ac:dyDescent="0.25">
      <c r="B387" s="69"/>
      <c r="C387" s="76"/>
      <c r="D387" s="72"/>
      <c r="F387" s="71"/>
      <c r="G387" s="71"/>
    </row>
    <row r="388" spans="2:7" s="50" customFormat="1" x14ac:dyDescent="0.25">
      <c r="B388" s="69"/>
      <c r="C388" s="76"/>
      <c r="D388" s="72"/>
      <c r="F388" s="71"/>
      <c r="G388" s="71"/>
    </row>
    <row r="389" spans="2:7" s="50" customFormat="1" x14ac:dyDescent="0.25">
      <c r="B389" s="69"/>
      <c r="C389" s="76"/>
      <c r="D389" s="72"/>
      <c r="F389" s="71"/>
      <c r="G389" s="71"/>
    </row>
    <row r="390" spans="2:7" s="50" customFormat="1" x14ac:dyDescent="0.25">
      <c r="B390" s="69"/>
      <c r="C390" s="76"/>
      <c r="D390" s="72"/>
      <c r="F390" s="71"/>
      <c r="G390" s="71"/>
    </row>
    <row r="391" spans="2:7" s="50" customFormat="1" x14ac:dyDescent="0.25">
      <c r="B391" s="69"/>
      <c r="C391" s="76"/>
      <c r="D391" s="72"/>
      <c r="F391" s="71"/>
      <c r="G391" s="71"/>
    </row>
    <row r="392" spans="2:7" s="50" customFormat="1" x14ac:dyDescent="0.25">
      <c r="B392" s="69"/>
      <c r="C392" s="76"/>
      <c r="D392" s="72"/>
      <c r="F392" s="71"/>
      <c r="G392" s="71"/>
    </row>
    <row r="393" spans="2:7" s="50" customFormat="1" x14ac:dyDescent="0.25">
      <c r="B393" s="69"/>
      <c r="C393" s="76"/>
      <c r="D393" s="72"/>
      <c r="F393" s="71"/>
      <c r="G393" s="71"/>
    </row>
    <row r="394" spans="2:7" s="50" customFormat="1" x14ac:dyDescent="0.25">
      <c r="B394" s="69"/>
      <c r="C394" s="76"/>
      <c r="D394" s="72"/>
      <c r="F394" s="71"/>
      <c r="G394" s="71"/>
    </row>
    <row r="395" spans="2:7" s="50" customFormat="1" x14ac:dyDescent="0.25">
      <c r="B395" s="69"/>
      <c r="C395" s="76"/>
      <c r="D395" s="72"/>
      <c r="F395" s="71"/>
      <c r="G395" s="71"/>
    </row>
    <row r="396" spans="2:7" s="50" customFormat="1" x14ac:dyDescent="0.25">
      <c r="B396" s="69"/>
      <c r="C396" s="76"/>
      <c r="D396" s="72"/>
      <c r="F396" s="71"/>
      <c r="G396" s="71"/>
    </row>
    <row r="397" spans="2:7" s="50" customFormat="1" x14ac:dyDescent="0.25">
      <c r="B397" s="69"/>
      <c r="C397" s="76"/>
      <c r="D397" s="72"/>
      <c r="F397" s="71"/>
      <c r="G397" s="71"/>
    </row>
    <row r="398" spans="2:7" s="50" customFormat="1" x14ac:dyDescent="0.25">
      <c r="B398" s="69"/>
      <c r="C398" s="76"/>
      <c r="D398" s="72"/>
      <c r="F398" s="71"/>
      <c r="G398" s="71"/>
    </row>
    <row r="399" spans="2:7" x14ac:dyDescent="0.25">
      <c r="B399" s="37"/>
      <c r="C399" s="4"/>
    </row>
    <row r="400" spans="2:7" x14ac:dyDescent="0.25">
      <c r="B400" s="37"/>
      <c r="C400" s="4"/>
    </row>
    <row r="401" spans="2:3" x14ac:dyDescent="0.25">
      <c r="B401" s="37"/>
      <c r="C401" s="4"/>
    </row>
    <row r="402" spans="2:3" x14ac:dyDescent="0.25">
      <c r="B402" s="37"/>
      <c r="C402" s="4"/>
    </row>
    <row r="403" spans="2:3" x14ac:dyDescent="0.25">
      <c r="B403" s="37"/>
      <c r="C403" s="4"/>
    </row>
    <row r="404" spans="2:3" x14ac:dyDescent="0.25">
      <c r="B404" s="37"/>
      <c r="C404" s="4"/>
    </row>
    <row r="405" spans="2:3" x14ac:dyDescent="0.25">
      <c r="B405" s="37"/>
      <c r="C405" s="4"/>
    </row>
    <row r="406" spans="2:3" x14ac:dyDescent="0.25">
      <c r="B406" s="37"/>
      <c r="C406" s="4"/>
    </row>
    <row r="407" spans="2:3" x14ac:dyDescent="0.25">
      <c r="B407" s="37"/>
      <c r="C407" s="4"/>
    </row>
    <row r="408" spans="2:3" x14ac:dyDescent="0.25">
      <c r="B408" s="37"/>
      <c r="C408" s="4"/>
    </row>
    <row r="409" spans="2:3" x14ac:dyDescent="0.25">
      <c r="B409" s="37"/>
      <c r="C409" s="4"/>
    </row>
    <row r="410" spans="2:3" x14ac:dyDescent="0.25">
      <c r="B410" s="37"/>
      <c r="C410" s="4"/>
    </row>
    <row r="411" spans="2:3" x14ac:dyDescent="0.25">
      <c r="B411" s="37"/>
      <c r="C411" s="4"/>
    </row>
    <row r="412" spans="2:3" x14ac:dyDescent="0.25">
      <c r="B412" s="37"/>
      <c r="C412" s="4"/>
    </row>
    <row r="413" spans="2:3" x14ac:dyDescent="0.25">
      <c r="B413" s="37"/>
      <c r="C413" s="4"/>
    </row>
    <row r="414" spans="2:3" x14ac:dyDescent="0.25">
      <c r="B414" s="37"/>
      <c r="C414" s="4"/>
    </row>
    <row r="415" spans="2:3" x14ac:dyDescent="0.25">
      <c r="B415" s="37"/>
      <c r="C415" s="4"/>
    </row>
    <row r="416" spans="2:3" x14ac:dyDescent="0.25">
      <c r="B416" s="37"/>
      <c r="C416" s="4"/>
    </row>
    <row r="417" spans="2:3" x14ac:dyDescent="0.25">
      <c r="B417" s="37"/>
      <c r="C417" s="4"/>
    </row>
    <row r="418" spans="2:3" x14ac:dyDescent="0.25">
      <c r="B418" s="37"/>
      <c r="C418" s="4"/>
    </row>
    <row r="419" spans="2:3" x14ac:dyDescent="0.25">
      <c r="B419" s="37"/>
      <c r="C419" s="4"/>
    </row>
    <row r="420" spans="2:3" x14ac:dyDescent="0.25">
      <c r="B420" s="37"/>
      <c r="C420" s="4"/>
    </row>
    <row r="421" spans="2:3" x14ac:dyDescent="0.25">
      <c r="B421" s="37"/>
      <c r="C421" s="4"/>
    </row>
    <row r="422" spans="2:3" x14ac:dyDescent="0.25">
      <c r="B422" s="37"/>
      <c r="C422" s="4"/>
    </row>
    <row r="423" spans="2:3" x14ac:dyDescent="0.25">
      <c r="B423" s="37"/>
      <c r="C423" s="4"/>
    </row>
    <row r="424" spans="2:3" x14ac:dyDescent="0.25">
      <c r="B424" s="37"/>
      <c r="C424" s="4"/>
    </row>
    <row r="425" spans="2:3" x14ac:dyDescent="0.25">
      <c r="B425" s="37"/>
      <c r="C425" s="4"/>
    </row>
    <row r="426" spans="2:3" x14ac:dyDescent="0.25">
      <c r="B426" s="37"/>
      <c r="C426" s="4"/>
    </row>
    <row r="427" spans="2:3" x14ac:dyDescent="0.25">
      <c r="B427" s="37"/>
      <c r="C427" s="4"/>
    </row>
    <row r="428" spans="2:3" x14ac:dyDescent="0.25">
      <c r="B428" s="37"/>
      <c r="C428" s="4"/>
    </row>
    <row r="429" spans="2:3" x14ac:dyDescent="0.25">
      <c r="B429" s="37"/>
      <c r="C429" s="4"/>
    </row>
    <row r="430" spans="2:3" x14ac:dyDescent="0.25">
      <c r="B430" s="37"/>
      <c r="C430" s="4"/>
    </row>
    <row r="431" spans="2:3" x14ac:dyDescent="0.25">
      <c r="B431" s="37"/>
      <c r="C431" s="4"/>
    </row>
    <row r="432" spans="2:3" x14ac:dyDescent="0.25">
      <c r="B432" s="37"/>
      <c r="C432" s="4"/>
    </row>
    <row r="433" spans="2:11" x14ac:dyDescent="0.25">
      <c r="B433" s="37"/>
      <c r="C433" s="4"/>
    </row>
    <row r="434" spans="2:11" x14ac:dyDescent="0.25">
      <c r="B434" s="37"/>
      <c r="C434" s="4"/>
    </row>
    <row r="435" spans="2:11" x14ac:dyDescent="0.25">
      <c r="B435" s="37"/>
      <c r="C435" s="4"/>
    </row>
    <row r="436" spans="2:11" x14ac:dyDescent="0.25">
      <c r="B436" s="37"/>
      <c r="C436" s="4"/>
    </row>
    <row r="437" spans="2:11" x14ac:dyDescent="0.25">
      <c r="B437" s="37"/>
      <c r="C437" s="4"/>
    </row>
    <row r="438" spans="2:11" x14ac:dyDescent="0.25">
      <c r="B438" s="37"/>
      <c r="C438" s="4"/>
    </row>
    <row r="439" spans="2:11" x14ac:dyDescent="0.25">
      <c r="B439" s="37"/>
      <c r="C439" s="4"/>
    </row>
    <row r="440" spans="2:11" x14ac:dyDescent="0.25">
      <c r="B440" s="37"/>
      <c r="C440" s="4"/>
    </row>
    <row r="441" spans="2:11" x14ac:dyDescent="0.25">
      <c r="B441" s="37"/>
      <c r="C441" s="4"/>
    </row>
    <row r="442" spans="2:11" x14ac:dyDescent="0.25">
      <c r="B442" s="37"/>
      <c r="C442" s="4"/>
    </row>
    <row r="443" spans="2:11" x14ac:dyDescent="0.25">
      <c r="B443" s="37"/>
      <c r="C443" s="4"/>
    </row>
    <row r="444" spans="2:11" x14ac:dyDescent="0.25">
      <c r="B444" s="37"/>
      <c r="C444" s="4"/>
    </row>
    <row r="445" spans="2:11" s="24" customFormat="1" x14ac:dyDescent="0.25">
      <c r="B445" s="39"/>
      <c r="C445" s="22"/>
      <c r="D445" s="35"/>
      <c r="E445" s="22"/>
      <c r="F445" s="23"/>
      <c r="G445" s="23"/>
      <c r="H445" s="22"/>
      <c r="I445" s="22"/>
      <c r="J445" s="22"/>
      <c r="K445" s="22"/>
    </row>
    <row r="446" spans="2:11" s="24" customFormat="1" x14ac:dyDescent="0.25">
      <c r="B446" s="40"/>
      <c r="C446" s="18"/>
      <c r="D446" s="36"/>
      <c r="E446" s="18"/>
      <c r="F446" s="19"/>
      <c r="G446" s="19"/>
      <c r="H446" s="18"/>
      <c r="I446" s="18"/>
      <c r="J446" s="18"/>
      <c r="K446" s="18"/>
    </row>
    <row r="447" spans="2:11" x14ac:dyDescent="0.25">
      <c r="B447" s="41"/>
      <c r="D447" s="7"/>
    </row>
    <row r="448" spans="2:11" x14ac:dyDescent="0.25">
      <c r="B448" s="41"/>
      <c r="D448" s="7"/>
    </row>
    <row r="449" spans="2:4" x14ac:dyDescent="0.25">
      <c r="B449" s="41"/>
      <c r="D449" s="7"/>
    </row>
    <row r="450" spans="2:4" x14ac:dyDescent="0.25">
      <c r="B450" s="41"/>
      <c r="D450" s="7"/>
    </row>
    <row r="451" spans="2:4" x14ac:dyDescent="0.25">
      <c r="B451" s="41"/>
      <c r="D451" s="7"/>
    </row>
    <row r="452" spans="2:4" x14ac:dyDescent="0.25">
      <c r="B452" s="41"/>
      <c r="D452" s="7"/>
    </row>
    <row r="453" spans="2:4" x14ac:dyDescent="0.25">
      <c r="B453" s="41"/>
      <c r="D453" s="7"/>
    </row>
    <row r="454" spans="2:4" x14ac:dyDescent="0.25">
      <c r="B454" s="41"/>
      <c r="D454" s="7"/>
    </row>
    <row r="455" spans="2:4" x14ac:dyDescent="0.25">
      <c r="B455" s="41"/>
      <c r="D455" s="7"/>
    </row>
    <row r="456" spans="2:4" x14ac:dyDescent="0.25">
      <c r="B456" s="41"/>
      <c r="D456" s="7"/>
    </row>
    <row r="457" spans="2:4" x14ac:dyDescent="0.25">
      <c r="B457" s="41"/>
      <c r="D457" s="7"/>
    </row>
    <row r="458" spans="2:4" x14ac:dyDescent="0.25">
      <c r="B458" s="41"/>
      <c r="D458" s="7"/>
    </row>
    <row r="459" spans="2:4" x14ac:dyDescent="0.25">
      <c r="B459" s="41"/>
      <c r="D459" s="7"/>
    </row>
    <row r="460" spans="2:4" x14ac:dyDescent="0.25">
      <c r="B460" s="41"/>
      <c r="D460" s="7"/>
    </row>
    <row r="461" spans="2:4" x14ac:dyDescent="0.25">
      <c r="B461" s="41"/>
      <c r="D461" s="7"/>
    </row>
    <row r="462" spans="2:4" x14ac:dyDescent="0.25">
      <c r="B462" s="41"/>
      <c r="D462" s="7"/>
    </row>
    <row r="463" spans="2:4" x14ac:dyDescent="0.25">
      <c r="B463" s="41"/>
      <c r="D463" s="7"/>
    </row>
    <row r="464" spans="2:4" x14ac:dyDescent="0.25">
      <c r="B464" s="41"/>
      <c r="D464" s="7"/>
    </row>
    <row r="465" spans="2:11" x14ac:dyDescent="0.25">
      <c r="B465" s="41"/>
      <c r="D465" s="7"/>
    </row>
    <row r="466" spans="2:11" x14ac:dyDescent="0.25">
      <c r="B466" s="41"/>
      <c r="D466" s="7"/>
    </row>
    <row r="467" spans="2:11" x14ac:dyDescent="0.25">
      <c r="B467" s="41"/>
      <c r="D467" s="7"/>
    </row>
    <row r="468" spans="2:11" x14ac:dyDescent="0.25">
      <c r="B468" s="41"/>
      <c r="D468" s="7"/>
    </row>
    <row r="469" spans="2:11" x14ac:dyDescent="0.25">
      <c r="B469" s="41"/>
      <c r="D469" s="7"/>
    </row>
    <row r="470" spans="2:11" x14ac:dyDescent="0.25">
      <c r="B470" s="41"/>
      <c r="D470" s="7"/>
    </row>
    <row r="471" spans="2:11" x14ac:dyDescent="0.25">
      <c r="B471" s="41"/>
      <c r="D471" s="7"/>
    </row>
    <row r="472" spans="2:11" x14ac:dyDescent="0.25">
      <c r="B472" s="41"/>
      <c r="D472" s="7"/>
    </row>
    <row r="473" spans="2:11" x14ac:dyDescent="0.25">
      <c r="B473" s="41"/>
      <c r="D473" s="7"/>
    </row>
    <row r="474" spans="2:11" x14ac:dyDescent="0.25">
      <c r="B474" s="41"/>
      <c r="D474" s="7"/>
    </row>
    <row r="475" spans="2:11" x14ac:dyDescent="0.25">
      <c r="B475" s="41"/>
      <c r="D475" s="7"/>
    </row>
    <row r="476" spans="2:11" x14ac:dyDescent="0.25">
      <c r="B476" s="41"/>
      <c r="D476" s="7"/>
    </row>
    <row r="477" spans="2:11" s="24" customFormat="1" x14ac:dyDescent="0.25">
      <c r="B477" s="42"/>
      <c r="C477" s="20"/>
      <c r="D477" s="21"/>
      <c r="E477" s="22"/>
      <c r="F477" s="23"/>
      <c r="G477" s="23"/>
      <c r="H477" s="22"/>
      <c r="I477" s="22"/>
      <c r="J477" s="22"/>
      <c r="K477" s="22"/>
    </row>
    <row r="478" spans="2:11" s="24" customFormat="1" x14ac:dyDescent="0.25">
      <c r="B478" s="43"/>
      <c r="C478" s="16"/>
      <c r="D478" s="17"/>
      <c r="E478" s="18"/>
      <c r="F478" s="19"/>
      <c r="G478" s="19"/>
      <c r="H478" s="18"/>
      <c r="I478" s="18"/>
      <c r="J478" s="18"/>
      <c r="K478" s="18"/>
    </row>
    <row r="479" spans="2:11" s="24" customFormat="1" x14ac:dyDescent="0.25">
      <c r="B479" s="42"/>
      <c r="C479" s="20"/>
      <c r="D479" s="21"/>
      <c r="E479" s="22"/>
      <c r="F479" s="23"/>
      <c r="G479" s="23"/>
      <c r="H479" s="22"/>
      <c r="I479" s="22"/>
      <c r="J479" s="22"/>
      <c r="K479" s="22"/>
    </row>
    <row r="480" spans="2:11" s="24" customFormat="1" x14ac:dyDescent="0.25">
      <c r="B480" s="43"/>
      <c r="C480" s="16"/>
      <c r="D480" s="17"/>
      <c r="E480" s="18"/>
      <c r="F480" s="19"/>
      <c r="G480" s="19"/>
      <c r="H480" s="18"/>
      <c r="I480" s="18"/>
      <c r="J480" s="18"/>
      <c r="K480" s="18"/>
    </row>
    <row r="481" spans="1:11" s="24" customFormat="1" x14ac:dyDescent="0.25">
      <c r="B481" s="42"/>
      <c r="C481" s="20"/>
      <c r="D481" s="21"/>
      <c r="E481" s="22"/>
      <c r="F481" s="23"/>
      <c r="G481" s="23"/>
      <c r="H481" s="22"/>
      <c r="I481" s="22"/>
      <c r="J481" s="22"/>
      <c r="K481" s="22"/>
    </row>
    <row r="482" spans="1:11" s="24" customFormat="1" x14ac:dyDescent="0.25">
      <c r="B482" s="43"/>
      <c r="C482" s="16"/>
      <c r="D482" s="17"/>
      <c r="E482" s="18"/>
      <c r="F482" s="19"/>
      <c r="G482" s="19"/>
      <c r="H482" s="18"/>
      <c r="I482" s="18"/>
      <c r="J482" s="18"/>
      <c r="K482" s="18"/>
    </row>
    <row r="483" spans="1:11" s="24" customFormat="1" x14ac:dyDescent="0.25">
      <c r="B483" s="42"/>
      <c r="C483" s="20"/>
      <c r="D483" s="21"/>
      <c r="E483" s="22"/>
      <c r="F483" s="23"/>
      <c r="G483" s="23"/>
      <c r="H483" s="22"/>
      <c r="I483" s="22"/>
      <c r="J483" s="22"/>
      <c r="K483" s="22"/>
    </row>
    <row r="484" spans="1:11" s="24" customFormat="1" x14ac:dyDescent="0.25">
      <c r="B484" s="43"/>
      <c r="C484" s="16"/>
      <c r="D484" s="17"/>
      <c r="E484" s="18"/>
      <c r="F484" s="19"/>
      <c r="G484" s="19"/>
      <c r="H484" s="18"/>
      <c r="I484" s="18"/>
      <c r="J484" s="18"/>
      <c r="K484" s="18"/>
    </row>
    <row r="485" spans="1:11" s="24" customFormat="1" x14ac:dyDescent="0.25">
      <c r="B485" s="42"/>
      <c r="C485" s="20"/>
      <c r="D485" s="21"/>
      <c r="E485" s="22"/>
      <c r="F485" s="23"/>
      <c r="G485" s="23"/>
      <c r="H485" s="22"/>
      <c r="I485" s="22"/>
      <c r="J485" s="22"/>
      <c r="K485" s="22"/>
    </row>
    <row r="486" spans="1:11" s="24" customFormat="1" x14ac:dyDescent="0.25">
      <c r="B486" s="43"/>
      <c r="C486" s="16"/>
      <c r="D486" s="17"/>
      <c r="E486" s="18"/>
      <c r="F486" s="19"/>
      <c r="G486" s="19"/>
      <c r="H486" s="18"/>
      <c r="I486" s="18"/>
      <c r="J486" s="18"/>
      <c r="K486" s="18"/>
    </row>
    <row r="487" spans="1:11" s="24" customFormat="1" x14ac:dyDescent="0.25">
      <c r="B487" s="42"/>
      <c r="C487" s="20"/>
      <c r="D487" s="21"/>
      <c r="E487" s="22"/>
      <c r="F487" s="23"/>
      <c r="G487" s="23"/>
      <c r="H487" s="22"/>
      <c r="I487" s="22"/>
      <c r="J487" s="22"/>
      <c r="K487" s="22"/>
    </row>
    <row r="488" spans="1:11" s="24" customFormat="1" x14ac:dyDescent="0.25">
      <c r="B488" s="43"/>
      <c r="C488" s="16"/>
      <c r="D488" s="17"/>
      <c r="E488" s="18"/>
      <c r="F488" s="19"/>
      <c r="G488" s="19"/>
      <c r="H488" s="18"/>
      <c r="I488" s="18"/>
      <c r="J488" s="18"/>
      <c r="K488" s="18"/>
    </row>
    <row r="489" spans="1:11" s="24" customFormat="1" x14ac:dyDescent="0.25">
      <c r="A489" s="15"/>
      <c r="B489" s="42"/>
      <c r="C489" s="20"/>
      <c r="D489" s="21"/>
      <c r="E489" s="22"/>
      <c r="F489" s="23"/>
      <c r="G489" s="23"/>
      <c r="H489" s="22"/>
      <c r="I489" s="22"/>
      <c r="J489" s="22"/>
      <c r="K489" s="22"/>
    </row>
    <row r="490" spans="1:11" x14ac:dyDescent="0.25">
      <c r="A490" s="15"/>
      <c r="B490" s="43"/>
      <c r="C490" s="16"/>
      <c r="D490" s="17"/>
      <c r="E490" s="18"/>
      <c r="F490" s="19"/>
      <c r="G490" s="19"/>
      <c r="H490" s="18"/>
      <c r="I490" s="18"/>
      <c r="J490" s="18"/>
      <c r="K490" s="18"/>
    </row>
    <row r="491" spans="1:11" x14ac:dyDescent="0.25">
      <c r="A491" s="15"/>
      <c r="B491" s="42"/>
      <c r="C491" s="20"/>
      <c r="D491" s="21"/>
      <c r="E491" s="22"/>
      <c r="F491" s="23"/>
      <c r="G491" s="23"/>
      <c r="H491" s="22"/>
      <c r="I491" s="22"/>
      <c r="J491" s="22"/>
      <c r="K491" s="22"/>
    </row>
    <row r="492" spans="1:11" x14ac:dyDescent="0.25">
      <c r="A492" s="15"/>
      <c r="B492" s="43"/>
      <c r="C492" s="16"/>
      <c r="D492" s="17"/>
      <c r="E492" s="18"/>
      <c r="F492" s="19"/>
      <c r="G492" s="19"/>
      <c r="H492" s="18"/>
      <c r="I492" s="18"/>
      <c r="J492" s="18"/>
      <c r="K492" s="18"/>
    </row>
    <row r="493" spans="1:11" x14ac:dyDescent="0.25">
      <c r="A493" s="15"/>
      <c r="B493" s="42"/>
      <c r="C493" s="20"/>
      <c r="D493" s="21"/>
      <c r="E493" s="22"/>
      <c r="F493" s="23"/>
      <c r="G493" s="23"/>
      <c r="H493" s="22"/>
      <c r="I493" s="22"/>
      <c r="J493" s="22"/>
      <c r="K493" s="22"/>
    </row>
    <row r="494" spans="1:11" x14ac:dyDescent="0.25">
      <c r="A494" s="15"/>
      <c r="B494" s="43"/>
      <c r="C494" s="16"/>
      <c r="D494" s="17"/>
      <c r="E494" s="18"/>
      <c r="F494" s="19"/>
      <c r="G494" s="19"/>
      <c r="H494" s="18"/>
      <c r="I494" s="18"/>
      <c r="J494" s="18"/>
      <c r="K494" s="18"/>
    </row>
    <row r="495" spans="1:11" x14ac:dyDescent="0.25">
      <c r="A495" s="15"/>
      <c r="B495" s="42"/>
      <c r="C495" s="20"/>
      <c r="D495" s="21"/>
      <c r="E495" s="22"/>
      <c r="F495" s="23"/>
      <c r="G495" s="23"/>
      <c r="H495" s="22"/>
      <c r="I495" s="22"/>
      <c r="J495" s="22"/>
      <c r="K495" s="22"/>
    </row>
    <row r="496" spans="1:11" x14ac:dyDescent="0.25">
      <c r="A496" s="15"/>
      <c r="B496" s="43"/>
      <c r="C496" s="16"/>
      <c r="D496" s="17"/>
      <c r="E496" s="18"/>
      <c r="F496" s="19"/>
      <c r="G496" s="19"/>
      <c r="H496" s="18"/>
      <c r="I496" s="18"/>
      <c r="J496" s="18"/>
      <c r="K496" s="18"/>
    </row>
    <row r="497" spans="1:11" x14ac:dyDescent="0.25">
      <c r="A497" s="15"/>
      <c r="B497" s="42"/>
      <c r="C497" s="20"/>
      <c r="D497" s="21"/>
      <c r="E497" s="22"/>
      <c r="F497" s="23"/>
      <c r="G497" s="23"/>
      <c r="H497" s="22"/>
      <c r="I497" s="22"/>
      <c r="J497" s="22"/>
      <c r="K497" s="22"/>
    </row>
    <row r="498" spans="1:11" x14ac:dyDescent="0.25">
      <c r="A498" s="15"/>
      <c r="B498" s="43"/>
      <c r="C498" s="16"/>
      <c r="D498" s="17"/>
      <c r="E498" s="18"/>
      <c r="F498" s="19"/>
      <c r="G498" s="19"/>
      <c r="H498" s="18"/>
      <c r="I498" s="18"/>
      <c r="J498" s="18"/>
      <c r="K498" s="18"/>
    </row>
    <row r="499" spans="1:11" ht="15" customHeight="1" x14ac:dyDescent="0.25">
      <c r="A499" s="15"/>
      <c r="B499" s="42"/>
      <c r="C499" s="20"/>
      <c r="D499" s="21"/>
      <c r="E499" s="22"/>
      <c r="F499" s="23"/>
      <c r="G499" s="23"/>
      <c r="H499" s="22"/>
      <c r="I499" s="22"/>
      <c r="J499" s="22"/>
      <c r="K499" s="22"/>
    </row>
    <row r="500" spans="1:11" ht="15" customHeight="1" x14ac:dyDescent="0.25">
      <c r="A500" s="15"/>
      <c r="B500" s="43"/>
      <c r="C500" s="16"/>
      <c r="D500" s="17"/>
      <c r="E500" s="18"/>
      <c r="F500" s="19"/>
      <c r="G500" s="19"/>
      <c r="H500" s="18"/>
      <c r="I500" s="18"/>
      <c r="J500" s="18"/>
      <c r="K500" s="18"/>
    </row>
    <row r="501" spans="1:11" ht="15" customHeight="1" x14ac:dyDescent="0.25">
      <c r="A501" s="15"/>
      <c r="B501" s="42"/>
      <c r="C501" s="20"/>
      <c r="D501" s="21"/>
      <c r="E501" s="22"/>
      <c r="F501" s="23"/>
      <c r="G501" s="23"/>
      <c r="H501" s="22"/>
      <c r="I501" s="22"/>
      <c r="J501" s="22"/>
      <c r="K501" s="22"/>
    </row>
    <row r="502" spans="1:11" ht="15" customHeight="1" x14ac:dyDescent="0.25">
      <c r="A502" s="15"/>
      <c r="B502" s="43"/>
      <c r="C502" s="16"/>
      <c r="D502" s="17"/>
      <c r="E502" s="18"/>
      <c r="F502" s="19"/>
      <c r="G502" s="19"/>
      <c r="H502" s="18"/>
      <c r="I502" s="18"/>
      <c r="J502" s="18"/>
      <c r="K502" s="18"/>
    </row>
    <row r="503" spans="1:11" ht="15" customHeight="1" x14ac:dyDescent="0.25">
      <c r="A503" s="15"/>
      <c r="B503" s="42"/>
      <c r="C503" s="20"/>
      <c r="D503" s="21"/>
      <c r="E503" s="22"/>
      <c r="F503" s="23"/>
      <c r="G503" s="23"/>
      <c r="H503" s="22"/>
      <c r="I503" s="22"/>
      <c r="J503" s="22"/>
      <c r="K503" s="22"/>
    </row>
    <row r="504" spans="1:11" ht="15" customHeight="1" x14ac:dyDescent="0.25">
      <c r="A504" s="15"/>
      <c r="B504" s="43"/>
      <c r="C504" s="16"/>
      <c r="D504" s="17"/>
      <c r="E504" s="18"/>
      <c r="F504" s="19"/>
      <c r="G504" s="19"/>
      <c r="H504" s="18"/>
      <c r="I504" s="18"/>
      <c r="J504" s="18"/>
      <c r="K504" s="18"/>
    </row>
    <row r="505" spans="1:11" ht="15" customHeight="1" x14ac:dyDescent="0.25">
      <c r="A505" s="15"/>
      <c r="B505" s="42"/>
      <c r="C505" s="20"/>
      <c r="D505" s="21"/>
      <c r="E505" s="22"/>
      <c r="F505" s="23"/>
      <c r="G505" s="23"/>
      <c r="H505" s="22"/>
      <c r="I505" s="22"/>
      <c r="J505" s="22"/>
      <c r="K505" s="22"/>
    </row>
    <row r="506" spans="1:11" ht="15" customHeight="1" x14ac:dyDescent="0.25">
      <c r="A506" s="15"/>
      <c r="B506" s="43"/>
      <c r="C506" s="16"/>
      <c r="D506" s="17"/>
      <c r="E506" s="18"/>
      <c r="F506" s="19"/>
      <c r="G506" s="19"/>
      <c r="H506" s="18"/>
      <c r="I506" s="18"/>
      <c r="J506" s="18"/>
      <c r="K506" s="18"/>
    </row>
    <row r="507" spans="1:11" ht="15" customHeight="1" x14ac:dyDescent="0.25">
      <c r="A507" s="15"/>
      <c r="B507" s="42"/>
      <c r="C507" s="20"/>
      <c r="D507" s="21"/>
      <c r="E507" s="22"/>
      <c r="F507" s="23"/>
      <c r="G507" s="23"/>
      <c r="H507" s="22"/>
      <c r="I507" s="22"/>
      <c r="J507" s="22"/>
      <c r="K507" s="22"/>
    </row>
    <row r="508" spans="1:11" ht="15" customHeight="1" x14ac:dyDescent="0.25">
      <c r="A508" s="15"/>
      <c r="B508" s="43"/>
      <c r="C508" s="16"/>
      <c r="D508" s="17"/>
      <c r="E508" s="18"/>
      <c r="F508" s="19"/>
      <c r="G508" s="19"/>
      <c r="H508" s="18"/>
      <c r="I508" s="18"/>
      <c r="J508" s="18"/>
      <c r="K508" s="18"/>
    </row>
    <row r="509" spans="1:11" ht="15" customHeight="1" x14ac:dyDescent="0.25">
      <c r="A509" s="15"/>
      <c r="B509" s="38"/>
      <c r="C509" s="24"/>
      <c r="D509" s="25"/>
      <c r="E509" s="24"/>
      <c r="F509" s="26"/>
      <c r="G509" s="26"/>
      <c r="H509" s="24"/>
      <c r="I509" s="24"/>
      <c r="J509" s="24"/>
      <c r="K509" s="24"/>
    </row>
    <row r="510" spans="1:11" s="5" customFormat="1" ht="15" customHeight="1" x14ac:dyDescent="0.25">
      <c r="A510" s="27"/>
      <c r="B510" s="38"/>
      <c r="C510" s="27"/>
      <c r="D510" s="28"/>
      <c r="E510" s="29"/>
      <c r="F510" s="30"/>
      <c r="G510" s="30"/>
      <c r="H510" s="29"/>
      <c r="I510" s="29"/>
      <c r="J510" s="29"/>
      <c r="K510" s="29"/>
    </row>
    <row r="511" spans="1:11" s="5" customFormat="1" ht="15" customHeight="1" x14ac:dyDescent="0.25">
      <c r="A511" s="27"/>
      <c r="B511" s="38"/>
      <c r="C511" s="27"/>
      <c r="D511" s="28"/>
      <c r="E511" s="31"/>
      <c r="F511" s="32"/>
      <c r="G511" s="32"/>
      <c r="H511" s="31"/>
      <c r="I511" s="31"/>
      <c r="J511" s="31"/>
      <c r="K511" s="31"/>
    </row>
    <row r="512" spans="1:11" s="5" customFormat="1" ht="15" customHeight="1" x14ac:dyDescent="0.25">
      <c r="A512" s="27"/>
      <c r="B512" s="38"/>
      <c r="C512" s="27"/>
      <c r="D512" s="28"/>
      <c r="E512" s="33"/>
      <c r="F512" s="34"/>
      <c r="G512" s="34"/>
      <c r="H512" s="33"/>
      <c r="I512" s="33"/>
      <c r="J512" s="33"/>
      <c r="K512" s="33"/>
    </row>
    <row r="513" spans="1:11" s="5" customFormat="1" ht="15" customHeight="1" x14ac:dyDescent="0.25">
      <c r="B513" s="37"/>
      <c r="D513" s="6"/>
      <c r="E513"/>
      <c r="F513" s="13"/>
      <c r="G513" s="13"/>
      <c r="H513"/>
      <c r="I513"/>
      <c r="J513"/>
      <c r="K513"/>
    </row>
    <row r="514" spans="1:11" s="5" customFormat="1" ht="15" customHeight="1" x14ac:dyDescent="0.25">
      <c r="B514" s="37"/>
      <c r="D514" s="6"/>
      <c r="E514"/>
      <c r="F514" s="13"/>
      <c r="G514" s="13"/>
      <c r="H514"/>
      <c r="I514"/>
      <c r="J514"/>
      <c r="K514"/>
    </row>
    <row r="515" spans="1:11" ht="15" customHeight="1" x14ac:dyDescent="0.25">
      <c r="A515" s="5"/>
      <c r="B515" s="37"/>
      <c r="E515" s="8"/>
      <c r="F515" s="14"/>
      <c r="G515" s="14"/>
      <c r="H515" s="8"/>
      <c r="I515" s="8"/>
      <c r="J515" s="8"/>
      <c r="K515" s="8"/>
    </row>
    <row r="516" spans="1:11" ht="15" customHeight="1" x14ac:dyDescent="0.25">
      <c r="A516" s="5"/>
      <c r="B516" s="37"/>
    </row>
    <row r="517" spans="1:11" ht="15" customHeight="1" x14ac:dyDescent="0.25">
      <c r="A517" s="5"/>
      <c r="B517" s="37"/>
    </row>
    <row r="518" spans="1:11" ht="15" customHeight="1" x14ac:dyDescent="0.25">
      <c r="A518" s="5"/>
      <c r="B518" s="37"/>
    </row>
    <row r="519" spans="1:11" ht="15" customHeight="1" x14ac:dyDescent="0.25">
      <c r="A519" s="5"/>
      <c r="B519" s="37"/>
    </row>
    <row r="520" spans="1:11" ht="15" customHeight="1" x14ac:dyDescent="0.25">
      <c r="A520" s="5"/>
      <c r="B520" s="37"/>
    </row>
    <row r="521" spans="1:11" ht="15" customHeight="1" x14ac:dyDescent="0.25"/>
    <row r="522" spans="1:11" ht="15" customHeight="1" x14ac:dyDescent="0.25"/>
    <row r="523" spans="1:11" ht="15" customHeight="1" x14ac:dyDescent="0.25"/>
    <row r="524" spans="1:11" ht="15" customHeight="1" x14ac:dyDescent="0.25"/>
    <row r="525" spans="1:11" ht="15" customHeight="1" x14ac:dyDescent="0.25"/>
    <row r="526" spans="1:11" ht="15" customHeight="1" x14ac:dyDescent="0.25"/>
    <row r="527" spans="1:11" ht="15" customHeight="1" x14ac:dyDescent="0.25"/>
    <row r="528" spans="1:11" s="8" customFormat="1" ht="15" customHeight="1" x14ac:dyDescent="0.25">
      <c r="F528" s="14"/>
      <c r="G528" s="14"/>
    </row>
    <row r="529" spans="2:7" s="1" customFormat="1" ht="15" customHeight="1" x14ac:dyDescent="0.25">
      <c r="C529" s="10"/>
      <c r="D529" s="10"/>
      <c r="F529" s="12"/>
      <c r="G529" s="12"/>
    </row>
    <row r="530" spans="2:7" ht="15" customHeight="1" x14ac:dyDescent="0.25">
      <c r="B530" s="9"/>
      <c r="C530" s="7"/>
      <c r="D530" s="7"/>
    </row>
    <row r="531" spans="2:7" ht="15" customHeight="1" x14ac:dyDescent="0.25">
      <c r="B531" s="9"/>
      <c r="C531" s="7"/>
    </row>
    <row r="532" spans="2:7" x14ac:dyDescent="0.25">
      <c r="B532" s="9"/>
      <c r="C532" s="7"/>
      <c r="D532" s="7"/>
    </row>
    <row r="533" spans="2:7" x14ac:dyDescent="0.25">
      <c r="B533" s="9"/>
      <c r="C533" s="7"/>
      <c r="D533" s="7"/>
    </row>
    <row r="534" spans="2:7" x14ac:dyDescent="0.25">
      <c r="B534" s="9"/>
      <c r="C534" s="7"/>
      <c r="D534" s="7"/>
    </row>
    <row r="535" spans="2:7" x14ac:dyDescent="0.25">
      <c r="B535" s="9"/>
      <c r="C535" s="7"/>
      <c r="D535" s="7"/>
    </row>
    <row r="536" spans="2:7" x14ac:dyDescent="0.25">
      <c r="B536" s="9"/>
      <c r="C536" s="7"/>
      <c r="D536" s="7"/>
    </row>
    <row r="537" spans="2:7" x14ac:dyDescent="0.25">
      <c r="B537" s="9"/>
      <c r="C537" s="7"/>
      <c r="D537" s="7"/>
    </row>
    <row r="538" spans="2:7" x14ac:dyDescent="0.25">
      <c r="B538" s="9"/>
      <c r="C538" s="7"/>
    </row>
    <row r="539" spans="2:7" x14ac:dyDescent="0.25">
      <c r="B539" s="9"/>
      <c r="C539" s="7"/>
    </row>
    <row r="540" spans="2:7" x14ac:dyDescent="0.25">
      <c r="B540" s="9"/>
      <c r="C540" s="7"/>
    </row>
    <row r="541" spans="2:7" x14ac:dyDescent="0.25">
      <c r="B541" s="9"/>
      <c r="C541" s="7"/>
    </row>
    <row r="542" spans="2:7" x14ac:dyDescent="0.25">
      <c r="B542" s="9"/>
      <c r="C542" s="7"/>
    </row>
    <row r="543" spans="2:7" x14ac:dyDescent="0.25">
      <c r="B543" s="9"/>
      <c r="C543" s="7"/>
    </row>
    <row r="544" spans="2:7" x14ac:dyDescent="0.25">
      <c r="B544" s="9"/>
      <c r="C544" s="7"/>
    </row>
    <row r="545" spans="2:3" x14ac:dyDescent="0.25">
      <c r="B545" s="9"/>
      <c r="C545" s="7"/>
    </row>
    <row r="546" spans="2:3" x14ac:dyDescent="0.25">
      <c r="B546" s="9"/>
      <c r="C546" s="7"/>
    </row>
    <row r="547" spans="2:3" x14ac:dyDescent="0.25">
      <c r="B547" s="9"/>
      <c r="C547" s="7"/>
    </row>
    <row r="548" spans="2:3" x14ac:dyDescent="0.25">
      <c r="B548" s="9"/>
      <c r="C548" s="7"/>
    </row>
    <row r="549" spans="2:3" x14ac:dyDescent="0.25">
      <c r="B549" s="9"/>
      <c r="C549" s="7"/>
    </row>
    <row r="550" spans="2:3" x14ac:dyDescent="0.25">
      <c r="B550" s="9"/>
      <c r="C550" s="7"/>
    </row>
    <row r="551" spans="2:3" x14ac:dyDescent="0.25">
      <c r="B551" s="9"/>
      <c r="C551" s="7"/>
    </row>
    <row r="552" spans="2:3" x14ac:dyDescent="0.25">
      <c r="B552" s="9"/>
      <c r="C552" s="7"/>
    </row>
    <row r="553" spans="2:3" x14ac:dyDescent="0.25">
      <c r="B553" s="9"/>
      <c r="C553" s="7"/>
    </row>
    <row r="554" spans="2:3" x14ac:dyDescent="0.25">
      <c r="B554" s="7"/>
      <c r="C554" s="7"/>
    </row>
  </sheetData>
  <autoFilter ref="A2:K52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Instructions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paul@pcwarner.com</dc:creator>
  <cp:lastModifiedBy>paul@pcwarner.com</cp:lastModifiedBy>
  <dcterms:created xsi:type="dcterms:W3CDTF">2022-10-04T20:52:37Z</dcterms:created>
  <dcterms:modified xsi:type="dcterms:W3CDTF">2025-07-09T20:57:16Z</dcterms:modified>
</cp:coreProperties>
</file>